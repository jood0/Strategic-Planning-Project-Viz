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Data 2\Dean\Estella\Strategic Planning\Student Data\"/>
    </mc:Choice>
  </mc:AlternateContent>
  <bookViews>
    <workbookView xWindow="0" yWindow="0" windowWidth="19368" windowHeight="7464" activeTab="1"/>
  </bookViews>
  <sheets>
    <sheet name="22-23 Summary" sheetId="2" r:id="rId1"/>
    <sheet name="22-23 Data" sheetId="1" r:id="rId2"/>
    <sheet name="18-19 Summary" sheetId="4" r:id="rId3"/>
    <sheet name="18-19 Data" sheetId="3" r:id="rId4"/>
  </sheets>
  <definedNames>
    <definedName name="_xlnm._FilterDatabase" localSheetId="1" hidden="1">'22-23 Data'!$A$1:$I$178</definedName>
  </definedNames>
  <calcPr calcId="162913"/>
  <pivotCaches>
    <pivotCache cacheId="106" r:id="rId5"/>
    <pivotCache cacheId="107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4" i="4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2" i="3"/>
  <c r="B14" i="2"/>
  <c r="C84" i="1"/>
  <c r="C85" i="1"/>
  <c r="C2" i="1"/>
  <c r="C5" i="1"/>
  <c r="C22" i="1"/>
  <c r="C8" i="1"/>
  <c r="C12" i="1"/>
  <c r="C7" i="1"/>
  <c r="C11" i="1"/>
  <c r="C13" i="1"/>
  <c r="C88" i="1"/>
  <c r="C9" i="1"/>
  <c r="C89" i="1"/>
  <c r="C90" i="1"/>
  <c r="C10" i="1"/>
  <c r="C3" i="1"/>
  <c r="C4" i="1"/>
  <c r="C6" i="1"/>
  <c r="C92" i="1"/>
  <c r="C91" i="1"/>
  <c r="C86" i="1"/>
  <c r="C94" i="1"/>
  <c r="C93" i="1"/>
  <c r="C95" i="1"/>
  <c r="C14" i="1"/>
  <c r="C15" i="1"/>
  <c r="C16" i="1"/>
  <c r="C62" i="1"/>
  <c r="C96" i="1"/>
  <c r="C72" i="1"/>
  <c r="C17" i="1"/>
  <c r="C97" i="1"/>
  <c r="C98" i="1"/>
  <c r="C99" i="1"/>
  <c r="C148" i="1"/>
  <c r="C149" i="1"/>
  <c r="C100" i="1"/>
  <c r="C101" i="1"/>
  <c r="C21" i="1"/>
  <c r="C104" i="1"/>
  <c r="C102" i="1"/>
  <c r="C19" i="1"/>
  <c r="C20" i="1"/>
  <c r="C103" i="1"/>
  <c r="C73" i="1"/>
  <c r="C75" i="1"/>
  <c r="C76" i="1"/>
  <c r="C105" i="1"/>
  <c r="C74" i="1"/>
  <c r="C18" i="1"/>
  <c r="C106" i="1"/>
  <c r="C107" i="1"/>
  <c r="C108" i="1"/>
  <c r="C109" i="1"/>
  <c r="C113" i="1"/>
  <c r="C69" i="1"/>
  <c r="C110" i="1"/>
  <c r="C77" i="1"/>
  <c r="C78" i="1"/>
  <c r="C24" i="1"/>
  <c r="C79" i="1"/>
  <c r="C80" i="1"/>
  <c r="C111" i="1"/>
  <c r="C114" i="1"/>
  <c r="C26" i="1"/>
  <c r="C23" i="1"/>
  <c r="C112" i="1"/>
  <c r="C25" i="1"/>
  <c r="C27" i="1"/>
  <c r="C28" i="1"/>
  <c r="C29" i="1"/>
  <c r="C63" i="1"/>
  <c r="C64" i="1"/>
  <c r="C115" i="1"/>
  <c r="C116" i="1"/>
  <c r="C117" i="1"/>
  <c r="C32" i="1"/>
  <c r="C118" i="1"/>
  <c r="C33" i="1"/>
  <c r="C31" i="1"/>
  <c r="C119" i="1"/>
  <c r="C30" i="1"/>
  <c r="C128" i="1"/>
  <c r="C36" i="1"/>
  <c r="C35" i="1"/>
  <c r="C120" i="1"/>
  <c r="C122" i="1"/>
  <c r="C121" i="1"/>
  <c r="C126" i="1"/>
  <c r="C123" i="1"/>
  <c r="C124" i="1"/>
  <c r="C34" i="1"/>
  <c r="C125" i="1"/>
  <c r="C127" i="1"/>
  <c r="C129" i="1"/>
  <c r="C131" i="1"/>
  <c r="C37" i="1"/>
  <c r="C65" i="1"/>
  <c r="C130" i="1"/>
  <c r="C39" i="1"/>
  <c r="C38" i="1"/>
  <c r="C133" i="1"/>
  <c r="C42" i="1"/>
  <c r="C43" i="1"/>
  <c r="C41" i="1"/>
  <c r="C40" i="1"/>
  <c r="C44" i="1"/>
  <c r="C132" i="1"/>
  <c r="C134" i="1"/>
  <c r="C136" i="1"/>
  <c r="C135" i="1"/>
  <c r="C45" i="1"/>
  <c r="C138" i="1"/>
  <c r="C137" i="1"/>
  <c r="C140" i="1"/>
  <c r="C141" i="1"/>
  <c r="C139" i="1"/>
  <c r="C46" i="1"/>
  <c r="C81" i="1"/>
  <c r="C142" i="1"/>
  <c r="C143" i="1"/>
  <c r="C47" i="1"/>
  <c r="C144" i="1"/>
  <c r="C146" i="1"/>
  <c r="C145" i="1"/>
  <c r="C87" i="1"/>
  <c r="C147" i="1"/>
  <c r="C151" i="1"/>
  <c r="C150" i="1"/>
  <c r="C49" i="1"/>
  <c r="C50" i="1"/>
  <c r="C66" i="1"/>
  <c r="C152" i="1"/>
  <c r="C48" i="1"/>
  <c r="C51" i="1"/>
  <c r="C153" i="1"/>
  <c r="C82" i="1"/>
  <c r="C155" i="1"/>
  <c r="C154" i="1"/>
  <c r="C157" i="1"/>
  <c r="C53" i="1"/>
  <c r="C156" i="1"/>
  <c r="C54" i="1"/>
  <c r="C67" i="1"/>
  <c r="C158" i="1"/>
  <c r="C159" i="1"/>
  <c r="C52" i="1"/>
  <c r="C161" i="1"/>
  <c r="C160" i="1"/>
  <c r="C71" i="1"/>
  <c r="C55" i="1"/>
  <c r="C68" i="1"/>
  <c r="C162" i="1"/>
  <c r="C56" i="1"/>
  <c r="C164" i="1"/>
  <c r="C175" i="1"/>
  <c r="C163" i="1"/>
  <c r="C165" i="1"/>
  <c r="C57" i="1"/>
  <c r="C171" i="1"/>
  <c r="C167" i="1"/>
  <c r="C166" i="1"/>
  <c r="C168" i="1"/>
  <c r="C58" i="1"/>
  <c r="C169" i="1"/>
  <c r="C170" i="1"/>
  <c r="C83" i="1"/>
  <c r="C176" i="1"/>
  <c r="C59" i="1"/>
  <c r="C172" i="1"/>
  <c r="C174" i="1"/>
  <c r="C61" i="1"/>
  <c r="C60" i="1"/>
  <c r="C173" i="1"/>
  <c r="C70" i="1"/>
</calcChain>
</file>

<file path=xl/sharedStrings.xml><?xml version="1.0" encoding="utf-8"?>
<sst xmlns="http://schemas.openxmlformats.org/spreadsheetml/2006/main" count="749" uniqueCount="382">
  <si>
    <t xml:space="preserve">Minor </t>
  </si>
  <si>
    <t xml:space="preserve">Fall 2022 </t>
  </si>
  <si>
    <t xml:space="preserve">Winter 2023 </t>
  </si>
  <si>
    <t xml:space="preserve">Spring 2023 </t>
  </si>
  <si>
    <t xml:space="preserve">Summer 2023 </t>
  </si>
  <si>
    <t xml:space="preserve">Other 2023 </t>
  </si>
  <si>
    <t xml:space="preserve">Accounting (CPAC) </t>
  </si>
  <si>
    <t xml:space="preserve">African American and African Studies (LAAA) </t>
  </si>
  <si>
    <t xml:space="preserve">Afro-American Studies (LAAS) </t>
  </si>
  <si>
    <t xml:space="preserve">Aging and Adult Development (AAAD) </t>
  </si>
  <si>
    <t xml:space="preserve">Agri Computing and Info Systems (AACI) </t>
  </si>
  <si>
    <t xml:space="preserve">Agric Entomology and Bee Biology (AEBB) </t>
  </si>
  <si>
    <t xml:space="preserve">Agricultural and Managerial Economics (AAME) </t>
  </si>
  <si>
    <t xml:space="preserve">Agricultural and Resource Economics (AARE) </t>
  </si>
  <si>
    <t xml:space="preserve">Agricultural Entomology (AAEN) </t>
  </si>
  <si>
    <t xml:space="preserve">Agricultural Pest Management (AAPM) </t>
  </si>
  <si>
    <t xml:space="preserve">Agricultural Systems and Environment (AASE) </t>
  </si>
  <si>
    <t xml:space="preserve">American Studies (LAMS) </t>
  </si>
  <si>
    <t xml:space="preserve">Animal Science (AANS) </t>
  </si>
  <si>
    <t xml:space="preserve">Anthropology (LANP) </t>
  </si>
  <si>
    <t xml:space="preserve">Anthropology (LANT) </t>
  </si>
  <si>
    <t xml:space="preserve">Apiculture (AAPI) </t>
  </si>
  <si>
    <t xml:space="preserve">Applied Behavioral Science (AABS) </t>
  </si>
  <si>
    <t xml:space="preserve">Applied Biol Systems and Tech (AABT) </t>
  </si>
  <si>
    <t xml:space="preserve">Applied Computing and Information Systems (AACS) </t>
  </si>
  <si>
    <t xml:space="preserve">Arab Studies (LARS) </t>
  </si>
  <si>
    <t xml:space="preserve">Arabic (LARA) </t>
  </si>
  <si>
    <t xml:space="preserve">Art History (LAHI) </t>
  </si>
  <si>
    <t xml:space="preserve">Art Studio (LASD) </t>
  </si>
  <si>
    <t xml:space="preserve">Asian American Studies (LASA) </t>
  </si>
  <si>
    <t xml:space="preserve">Asian American Studies (LASO) </t>
  </si>
  <si>
    <t xml:space="preserve">Atmospheric Science (AATM) </t>
  </si>
  <si>
    <t xml:space="preserve">Avian Sciences (AAVS) </t>
  </si>
  <si>
    <t xml:space="preserve">Biological Sciences (ABIS) </t>
  </si>
  <si>
    <t xml:space="preserve">Biological Sciences (BBIS) </t>
  </si>
  <si>
    <t xml:space="preserve">Biological Sciences (LBIS) </t>
  </si>
  <si>
    <t xml:space="preserve">Biomedical Engineering (EBIM) </t>
  </si>
  <si>
    <t xml:space="preserve">Botany (ABOT) </t>
  </si>
  <si>
    <t xml:space="preserve">Botany (LBOT) </t>
  </si>
  <si>
    <t xml:space="preserve">Chemistry (LCHE) </t>
  </si>
  <si>
    <t xml:space="preserve">Chicana/Chicano Studies (LCHI) </t>
  </si>
  <si>
    <t xml:space="preserve">Chicano (Mexican-American) Studies (LMXA) </t>
  </si>
  <si>
    <t xml:space="preserve">Chicano (Mexican-American) Studies (LMXH) </t>
  </si>
  <si>
    <t xml:space="preserve">Chinese (LCHN) </t>
  </si>
  <si>
    <t xml:space="preserve">Classical Civilization (LCLC) </t>
  </si>
  <si>
    <t xml:space="preserve">Climate Science and Policy (ACSP) </t>
  </si>
  <si>
    <t xml:space="preserve">Coaching Principles and Methods (LCPM) </t>
  </si>
  <si>
    <t xml:space="preserve">Communication (LCMN) </t>
  </si>
  <si>
    <t xml:space="preserve">Community Development (ACMD) </t>
  </si>
  <si>
    <t xml:space="preserve">Community Nutrition (ACMN) </t>
  </si>
  <si>
    <t xml:space="preserve">Comparative Literature (LCOM) </t>
  </si>
  <si>
    <t xml:space="preserve">Computational Applied Science (ECAS) </t>
  </si>
  <si>
    <t xml:space="preserve">Computational Biology (ECPB) </t>
  </si>
  <si>
    <t xml:space="preserve">Computer Science (ECSI) </t>
  </si>
  <si>
    <t xml:space="preserve">Computer Science (LCSI) </t>
  </si>
  <si>
    <t xml:space="preserve">Construction Engineering and Management (ECEM) </t>
  </si>
  <si>
    <t xml:space="preserve">Contemporary Leadership (ACLD) </t>
  </si>
  <si>
    <t xml:space="preserve">Data in Society (LDIS) </t>
  </si>
  <si>
    <t xml:space="preserve">Dramatic Art (LDRA) </t>
  </si>
  <si>
    <t xml:space="preserve">East Asian Studies (LEAS) </t>
  </si>
  <si>
    <t xml:space="preserve">Economics (LECN) </t>
  </si>
  <si>
    <t xml:space="preserve">Economy, Justice, and Society (LEJS) </t>
  </si>
  <si>
    <t xml:space="preserve">Education (CEDU) </t>
  </si>
  <si>
    <t xml:space="preserve">Education (LEDU) </t>
  </si>
  <si>
    <t xml:space="preserve">Electrical Engineering (EEEL) </t>
  </si>
  <si>
    <t xml:space="preserve">Energy Efficiency (EEFY) </t>
  </si>
  <si>
    <t xml:space="preserve">Energy Policy (AEGP) </t>
  </si>
  <si>
    <t xml:space="preserve">Energy Policy (EENP) </t>
  </si>
  <si>
    <t xml:space="preserve">Energy Science and Technology (EEST) </t>
  </si>
  <si>
    <t xml:space="preserve">Engineering Geology (LEGL) </t>
  </si>
  <si>
    <t xml:space="preserve">English (LENL) </t>
  </si>
  <si>
    <t xml:space="preserve">Entomology (AENT) </t>
  </si>
  <si>
    <t xml:space="preserve">Environmental Biology and Management (AEBM) </t>
  </si>
  <si>
    <t xml:space="preserve">Environmental Geology (LEGO) </t>
  </si>
  <si>
    <t xml:space="preserve">Environmental Horticulture (AENH) </t>
  </si>
  <si>
    <t xml:space="preserve">Environmental Policy Analysis (AEPA) </t>
  </si>
  <si>
    <t xml:space="preserve">Environmental Policy Analysis and Planning (AEPP) </t>
  </si>
  <si>
    <t xml:space="preserve">Environmental Toxicology (AETX) </t>
  </si>
  <si>
    <t xml:space="preserve">Evolution, Ecology, and Biodiversity (BEEB) </t>
  </si>
  <si>
    <t xml:space="preserve">Exercise Biology (BEXB) </t>
  </si>
  <si>
    <t xml:space="preserve">Exercise Biology (LEXB) </t>
  </si>
  <si>
    <t xml:space="preserve">Exercise Science (LEXS) </t>
  </si>
  <si>
    <t xml:space="preserve">Expository Writing (LEXW) </t>
  </si>
  <si>
    <t xml:space="preserve">Fiber and Polymer Science (AFPS) </t>
  </si>
  <si>
    <t xml:space="preserve">Film Studies (LFMS) </t>
  </si>
  <si>
    <t xml:space="preserve">Food Service Management (AFSM) </t>
  </si>
  <si>
    <t xml:space="preserve">Forensic Entomology (AFEN) </t>
  </si>
  <si>
    <t xml:space="preserve">French (LFRE) </t>
  </si>
  <si>
    <t xml:space="preserve">Fungal Biology and Ecology (AFBE) </t>
  </si>
  <si>
    <t xml:space="preserve">Gender, Sexuality, and Women's Studies (LGSW) </t>
  </si>
  <si>
    <t xml:space="preserve">Geographic Information Systems (AGIS) </t>
  </si>
  <si>
    <t xml:space="preserve">Geographic Studies (AGES) </t>
  </si>
  <si>
    <t xml:space="preserve">Geography (LGEG) </t>
  </si>
  <si>
    <t xml:space="preserve">Geography (LGEO) </t>
  </si>
  <si>
    <t xml:space="preserve">Geology (LGEL) </t>
  </si>
  <si>
    <t xml:space="preserve">Geophysics (LGPH) </t>
  </si>
  <si>
    <t xml:space="preserve">German (LGER) </t>
  </si>
  <si>
    <t xml:space="preserve">Global and International Studies (LGIS) </t>
  </si>
  <si>
    <t xml:space="preserve">Global Disease Biology (AGDB) </t>
  </si>
  <si>
    <t xml:space="preserve">Global Studies (LGLO) </t>
  </si>
  <si>
    <t xml:space="preserve">Greek (LGRK) </t>
  </si>
  <si>
    <t xml:space="preserve">History (LHIS) </t>
  </si>
  <si>
    <t xml:space="preserve">History and Philosophy of Science (LHPS) </t>
  </si>
  <si>
    <t xml:space="preserve">Human Development (AHDE) </t>
  </si>
  <si>
    <t xml:space="preserve">Human Physiology (BHPY) </t>
  </si>
  <si>
    <t xml:space="preserve">Human Rights (LHMR) </t>
  </si>
  <si>
    <t xml:space="preserve">Hydrologic Science (AHYS) </t>
  </si>
  <si>
    <t xml:space="preserve">Hydrology (AHYD) </t>
  </si>
  <si>
    <t xml:space="preserve">India and South Asia Studies (LISA) </t>
  </si>
  <si>
    <t xml:space="preserve">Insect Biology (AINB) </t>
  </si>
  <si>
    <t xml:space="preserve">Insect Ecology (AISE) </t>
  </si>
  <si>
    <t xml:space="preserve">Insect Ecology and Evolution (AIEE) </t>
  </si>
  <si>
    <t xml:space="preserve">International Agricultural Development (AIAD) </t>
  </si>
  <si>
    <t xml:space="preserve">International Science Studies (AISS) </t>
  </si>
  <si>
    <t xml:space="preserve">Iran and Persian Studies (LIPS) </t>
  </si>
  <si>
    <t xml:space="preserve">Italian (LITA) </t>
  </si>
  <si>
    <t xml:space="preserve">Japanese (LJPN) </t>
  </si>
  <si>
    <t xml:space="preserve">Jewish Studies (LJES) </t>
  </si>
  <si>
    <t xml:space="preserve">Landscape Restoration (ALDR) </t>
  </si>
  <si>
    <t xml:space="preserve">Latin (LLAT) </t>
  </si>
  <si>
    <t xml:space="preserve">Latin American and Hemispheric Studies (LLAH) </t>
  </si>
  <si>
    <t xml:space="preserve">Linguistics (LLIN) </t>
  </si>
  <si>
    <t xml:space="preserve">Linguistics for Language Teachers (LLLT) </t>
  </si>
  <si>
    <t xml:space="preserve">Luso-Brazilian Studies (LLBS) </t>
  </si>
  <si>
    <t xml:space="preserve">Managerial Economics (AMGE) </t>
  </si>
  <si>
    <t xml:space="preserve">Materials Science (EMTS) </t>
  </si>
  <si>
    <t xml:space="preserve">Mathematics (LMAT) </t>
  </si>
  <si>
    <t xml:space="preserve">Medical Humanities (LMHU) </t>
  </si>
  <si>
    <t xml:space="preserve">Medical-Veterinary Entomology (AMVE) </t>
  </si>
  <si>
    <t xml:space="preserve">Medieval and Early Modern Studies (LMMS) </t>
  </si>
  <si>
    <t xml:space="preserve">Medieval Studies (LMST) </t>
  </si>
  <si>
    <t xml:space="preserve">Middle East/South Asia Studies (LMSA) </t>
  </si>
  <si>
    <t xml:space="preserve">Museum Studies (LAHM) </t>
  </si>
  <si>
    <t xml:space="preserve">Music (LMUS) </t>
  </si>
  <si>
    <t xml:space="preserve">Native American Studies (LNAS) </t>
  </si>
  <si>
    <t xml:space="preserve">Nature and Culture (LNAC) </t>
  </si>
  <si>
    <t xml:space="preserve">Nematology (ANEM) </t>
  </si>
  <si>
    <t xml:space="preserve">Neuroscience (ANEU) </t>
  </si>
  <si>
    <t xml:space="preserve">Neuroscience (BNEU) </t>
  </si>
  <si>
    <t xml:space="preserve">Neuroscience (LNEU) </t>
  </si>
  <si>
    <t xml:space="preserve">Nutrition and Food (ANAF) </t>
  </si>
  <si>
    <t xml:space="preserve">Nutrition Science (ANSC) </t>
  </si>
  <si>
    <t xml:space="preserve">Oceanography (LOCN) </t>
  </si>
  <si>
    <t xml:space="preserve">Optical Science and Engineering (EOSE) </t>
  </si>
  <si>
    <t xml:space="preserve">Philosophy (LPHI) </t>
  </si>
  <si>
    <t xml:space="preserve">Physical Education (LPHE) </t>
  </si>
  <si>
    <t xml:space="preserve">Physics (LPHY) </t>
  </si>
  <si>
    <t xml:space="preserve">Physiology (APHS) </t>
  </si>
  <si>
    <t xml:space="preserve">Physiology (LPHS) </t>
  </si>
  <si>
    <t xml:space="preserve">Plant Biology (APLB) </t>
  </si>
  <si>
    <t xml:space="preserve">Plant Biology (BPLB) </t>
  </si>
  <si>
    <t xml:space="preserve">Plant Biology (LPLB) </t>
  </si>
  <si>
    <t xml:space="preserve">Political Science (LPOL) </t>
  </si>
  <si>
    <t xml:space="preserve">Precision Agriculture (APAG) </t>
  </si>
  <si>
    <t xml:space="preserve">Professional Writing (LPWR) </t>
  </si>
  <si>
    <t xml:space="preserve">Psychology (LPSC) </t>
  </si>
  <si>
    <t xml:space="preserve">Public Health Sciences (CSPH) </t>
  </si>
  <si>
    <t xml:space="preserve">Quant Biol and Bioinformatics (AQBB) </t>
  </si>
  <si>
    <t xml:space="preserve">Quantitative Biology and Bioinformatics (BQBB) </t>
  </si>
  <si>
    <t xml:space="preserve">Quantitative Biology and Bioinformatics (LQBB) </t>
  </si>
  <si>
    <t xml:space="preserve">Recreation (AREC) </t>
  </si>
  <si>
    <t xml:space="preserve">Religious Studies (LRST) </t>
  </si>
  <si>
    <t xml:space="preserve">Retroactive Degree (RETR) </t>
  </si>
  <si>
    <t xml:space="preserve">Rhetoric and Communication (LRCM) </t>
  </si>
  <si>
    <t xml:space="preserve">Russian (LRUS) </t>
  </si>
  <si>
    <t xml:space="preserve">Science and Society (ASAS) </t>
  </si>
  <si>
    <t xml:space="preserve">Sexuality Studies (LSXS) </t>
  </si>
  <si>
    <t xml:space="preserve">Social and Ethnic Relations (LSER) </t>
  </si>
  <si>
    <t xml:space="preserve">Social, Ethnic, and Gender Relations (LSEG) </t>
  </si>
  <si>
    <t xml:space="preserve">Sociology (LSOC) </t>
  </si>
  <si>
    <t xml:space="preserve">Soil Science (ASSC) </t>
  </si>
  <si>
    <t xml:space="preserve">Spanish (LSPA) </t>
  </si>
  <si>
    <t xml:space="preserve">Statistics (LSTA) </t>
  </si>
  <si>
    <t xml:space="preserve">Sustainability in the Built Environment (ESBE) </t>
  </si>
  <si>
    <t xml:space="preserve">Technology Management (STMG) </t>
  </si>
  <si>
    <t xml:space="preserve">Textiles and Clothing (ATXC) </t>
  </si>
  <si>
    <t xml:space="preserve">Theatre and Dance (LTAD) </t>
  </si>
  <si>
    <t xml:space="preserve">UNKNOWN (XXXX) </t>
  </si>
  <si>
    <t xml:space="preserve">War-Peace Studies (LWPS) </t>
  </si>
  <si>
    <t xml:space="preserve">Watershed Science (AWTS) </t>
  </si>
  <si>
    <t xml:space="preserve">Wildlife, Fish, and Conservation Biology (AWFC) </t>
  </si>
  <si>
    <t xml:space="preserve">Women's Studies (LWMS) </t>
  </si>
  <si>
    <t xml:space="preserve">Totals </t>
  </si>
  <si>
    <t>22-23 Total</t>
  </si>
  <si>
    <t>CPAC</t>
  </si>
  <si>
    <t>LAAA</t>
  </si>
  <si>
    <t>LAAS</t>
  </si>
  <si>
    <t>AAAD</t>
  </si>
  <si>
    <t>AACI</t>
  </si>
  <si>
    <t>AEBB</t>
  </si>
  <si>
    <t>AAME</t>
  </si>
  <si>
    <t>AARE</t>
  </si>
  <si>
    <t>AAEN</t>
  </si>
  <si>
    <t>AAPM</t>
  </si>
  <si>
    <t>AASE</t>
  </si>
  <si>
    <t>LAMS</t>
  </si>
  <si>
    <t>AANS</t>
  </si>
  <si>
    <t>LANP</t>
  </si>
  <si>
    <t>LANT</t>
  </si>
  <si>
    <t>AAPI</t>
  </si>
  <si>
    <t>AABS</t>
  </si>
  <si>
    <t>AABT</t>
  </si>
  <si>
    <t>AACS</t>
  </si>
  <si>
    <t>LARS</t>
  </si>
  <si>
    <t>LARA</t>
  </si>
  <si>
    <t>LAHI</t>
  </si>
  <si>
    <t>LASD</t>
  </si>
  <si>
    <t>LASA</t>
  </si>
  <si>
    <t>LASO</t>
  </si>
  <si>
    <t>AATM</t>
  </si>
  <si>
    <t>AAVS</t>
  </si>
  <si>
    <t>ABIS</t>
  </si>
  <si>
    <t>BBIS</t>
  </si>
  <si>
    <t>LBIS</t>
  </si>
  <si>
    <t>EBIM</t>
  </si>
  <si>
    <t>ABOT</t>
  </si>
  <si>
    <t>LBOT</t>
  </si>
  <si>
    <t>LCHE</t>
  </si>
  <si>
    <t>LCHI</t>
  </si>
  <si>
    <t>LMXA</t>
  </si>
  <si>
    <t>LMXH</t>
  </si>
  <si>
    <t>LCHN</t>
  </si>
  <si>
    <t>LCLC</t>
  </si>
  <si>
    <t>ACSP</t>
  </si>
  <si>
    <t>LCPM</t>
  </si>
  <si>
    <t>LCMN</t>
  </si>
  <si>
    <t>ACMD</t>
  </si>
  <si>
    <t>ACMN</t>
  </si>
  <si>
    <t>LCOM</t>
  </si>
  <si>
    <t>ECAS</t>
  </si>
  <si>
    <t>ECPB</t>
  </si>
  <si>
    <t>ECSI</t>
  </si>
  <si>
    <t>LCSI</t>
  </si>
  <si>
    <t>ECEM</t>
  </si>
  <si>
    <t>ACLD</t>
  </si>
  <si>
    <t>LDIS</t>
  </si>
  <si>
    <t>LDRA</t>
  </si>
  <si>
    <t>LEAS</t>
  </si>
  <si>
    <t>LECN</t>
  </si>
  <si>
    <t>LEJS</t>
  </si>
  <si>
    <t>CEDU</t>
  </si>
  <si>
    <t>LEDU</t>
  </si>
  <si>
    <t>EEEL</t>
  </si>
  <si>
    <t>EEFY</t>
  </si>
  <si>
    <t>AEGP</t>
  </si>
  <si>
    <t>EENP</t>
  </si>
  <si>
    <t>EEST</t>
  </si>
  <si>
    <t>LEGL</t>
  </si>
  <si>
    <t>LENL</t>
  </si>
  <si>
    <t>AENT</t>
  </si>
  <si>
    <t>AEBM</t>
  </si>
  <si>
    <t>LEGO</t>
  </si>
  <si>
    <t>AENH</t>
  </si>
  <si>
    <t>AEPA</t>
  </si>
  <si>
    <t>AEPP</t>
  </si>
  <si>
    <t>AETX</t>
  </si>
  <si>
    <t>BEEB</t>
  </si>
  <si>
    <t>BEXB</t>
  </si>
  <si>
    <t>LEXB</t>
  </si>
  <si>
    <t>LEXS</t>
  </si>
  <si>
    <t>LEXW</t>
  </si>
  <si>
    <t>AFPS</t>
  </si>
  <si>
    <t>LFMS</t>
  </si>
  <si>
    <t>AFSM</t>
  </si>
  <si>
    <t>AFEN</t>
  </si>
  <si>
    <t>LFRE</t>
  </si>
  <si>
    <t>AFBE</t>
  </si>
  <si>
    <t>LGSW</t>
  </si>
  <si>
    <t>AGIS</t>
  </si>
  <si>
    <t>AGES</t>
  </si>
  <si>
    <t>LGEG</t>
  </si>
  <si>
    <t>LGEO</t>
  </si>
  <si>
    <t>LGEL</t>
  </si>
  <si>
    <t>LGPH</t>
  </si>
  <si>
    <t>LGER</t>
  </si>
  <si>
    <t>LGIS</t>
  </si>
  <si>
    <t>AGDB</t>
  </si>
  <si>
    <t>LGLO</t>
  </si>
  <si>
    <t>LGRK</t>
  </si>
  <si>
    <t>LHIS</t>
  </si>
  <si>
    <t>LHPS</t>
  </si>
  <si>
    <t>AHDE</t>
  </si>
  <si>
    <t>BHPY</t>
  </si>
  <si>
    <t>LHMR</t>
  </si>
  <si>
    <t>AHYS</t>
  </si>
  <si>
    <t>AHYD</t>
  </si>
  <si>
    <t>LISA</t>
  </si>
  <si>
    <t>AINB</t>
  </si>
  <si>
    <t>AISE</t>
  </si>
  <si>
    <t>AIEE</t>
  </si>
  <si>
    <t>AIAD</t>
  </si>
  <si>
    <t>AISS</t>
  </si>
  <si>
    <t>LIPS</t>
  </si>
  <si>
    <t>LITA</t>
  </si>
  <si>
    <t>LJPN</t>
  </si>
  <si>
    <t>LJES</t>
  </si>
  <si>
    <t>ALDR</t>
  </si>
  <si>
    <t>LLAT</t>
  </si>
  <si>
    <t>LLAH</t>
  </si>
  <si>
    <t>LLIN</t>
  </si>
  <si>
    <t>LLLT</t>
  </si>
  <si>
    <t>LLBS</t>
  </si>
  <si>
    <t>AMGE</t>
  </si>
  <si>
    <t>EMTS</t>
  </si>
  <si>
    <t>LMAT</t>
  </si>
  <si>
    <t>LMHU</t>
  </si>
  <si>
    <t>AMVE</t>
  </si>
  <si>
    <t>LMMS</t>
  </si>
  <si>
    <t>LMST</t>
  </si>
  <si>
    <t>LMSA</t>
  </si>
  <si>
    <t>LAHM</t>
  </si>
  <si>
    <t>LMUS</t>
  </si>
  <si>
    <t>LNAS</t>
  </si>
  <si>
    <t>LNAC</t>
  </si>
  <si>
    <t>ANEM</t>
  </si>
  <si>
    <t>ANEU</t>
  </si>
  <si>
    <t>BNEU</t>
  </si>
  <si>
    <t>LNEU</t>
  </si>
  <si>
    <t>ANAF</t>
  </si>
  <si>
    <t>ANSC</t>
  </si>
  <si>
    <t>LOCN</t>
  </si>
  <si>
    <t>EOSE</t>
  </si>
  <si>
    <t>LPHI</t>
  </si>
  <si>
    <t>LPHE</t>
  </si>
  <si>
    <t>LPHY</t>
  </si>
  <si>
    <t>APHS</t>
  </si>
  <si>
    <t>LPHS</t>
  </si>
  <si>
    <t>APLB</t>
  </si>
  <si>
    <t>BPLB</t>
  </si>
  <si>
    <t>LPLB</t>
  </si>
  <si>
    <t>LPOL</t>
  </si>
  <si>
    <t>APAG</t>
  </si>
  <si>
    <t>LPWR</t>
  </si>
  <si>
    <t>LPSC</t>
  </si>
  <si>
    <t>CSPH</t>
  </si>
  <si>
    <t>AQBB</t>
  </si>
  <si>
    <t>BQBB</t>
  </si>
  <si>
    <t>LQBB</t>
  </si>
  <si>
    <t>AREC</t>
  </si>
  <si>
    <t>LRST</t>
  </si>
  <si>
    <t>RETR</t>
  </si>
  <si>
    <t>LRCM</t>
  </si>
  <si>
    <t>LRUS</t>
  </si>
  <si>
    <t>ASAS</t>
  </si>
  <si>
    <t>LSXS</t>
  </si>
  <si>
    <t>LSER</t>
  </si>
  <si>
    <t>LSEG</t>
  </si>
  <si>
    <t>LSOC</t>
  </si>
  <si>
    <t>ASSC</t>
  </si>
  <si>
    <t>LSPA</t>
  </si>
  <si>
    <t>LSTA</t>
  </si>
  <si>
    <t>ESBE</t>
  </si>
  <si>
    <t>STMG</t>
  </si>
  <si>
    <t>ATXC</t>
  </si>
  <si>
    <t>LTAD</t>
  </si>
  <si>
    <t>XXXX</t>
  </si>
  <si>
    <t>LWPS</t>
  </si>
  <si>
    <t>AWTS</t>
  </si>
  <si>
    <t>AWFC</t>
  </si>
  <si>
    <t>LWMS</t>
  </si>
  <si>
    <t>otal</t>
  </si>
  <si>
    <t>Code</t>
  </si>
  <si>
    <t>College</t>
  </si>
  <si>
    <t>Row Labels</t>
  </si>
  <si>
    <t>A</t>
  </si>
  <si>
    <t>B</t>
  </si>
  <si>
    <t>C</t>
  </si>
  <si>
    <t>E</t>
  </si>
  <si>
    <t>L</t>
  </si>
  <si>
    <t>R</t>
  </si>
  <si>
    <t>S</t>
  </si>
  <si>
    <t>X</t>
  </si>
  <si>
    <t>Grand Total</t>
  </si>
  <si>
    <t>Sum of 22-23 Total</t>
  </si>
  <si>
    <t xml:space="preserve"> </t>
  </si>
  <si>
    <t xml:space="preserve">Fall 2018 </t>
  </si>
  <si>
    <t xml:space="preserve">Winter 2019 </t>
  </si>
  <si>
    <t xml:space="preserve">Spring 2019 </t>
  </si>
  <si>
    <t xml:space="preserve">Summer 2019 </t>
  </si>
  <si>
    <t xml:space="preserve">Other 2019 </t>
  </si>
  <si>
    <t>18-19</t>
  </si>
  <si>
    <t>Sum of 18-19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</si>
</sst>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Ian Blake" refreshedDate="45314.488046527775" createdVersion="6" refreshedVersion="6" minRefreshableVersion="3" recordCount="178">
  <cacheSource type="worksheet">
    <worksheetSource ref="A1:I178" sheet="22-23 Data"/>
  </cacheSource>
  <cacheFields count="9">
    <cacheField name="Minor " numFmtId="0">
      <sharedItems containsBlank="1"/>
    </cacheField>
    <cacheField name="Code" numFmtId="0">
      <sharedItems containsBlank="1"/>
    </cacheField>
    <cacheField name="College" numFmtId="0">
      <sharedItems containsBlank="1" count="11">
        <s v="C"/>
        <s v="L"/>
        <s v="A"/>
        <s v="B"/>
        <s v="E"/>
        <s v="R"/>
        <s v="S"/>
        <s v="X"/>
        <m/>
        <s v=" "/>
        <s v="o" u="1"/>
      </sharedItems>
    </cacheField>
    <cacheField name="Fall 2022 " numFmtId="0">
      <sharedItems containsString="0" containsBlank="1" containsNumber="1" containsInteger="1" minValue="0" maxValue="268"/>
    </cacheField>
    <cacheField name="Winter 2023 " numFmtId="0">
      <sharedItems containsString="0" containsBlank="1" containsNumber="1" containsInteger="1" minValue="0" maxValue="329"/>
    </cacheField>
    <cacheField name="Spring 2023 " numFmtId="0">
      <sharedItems containsString="0" containsBlank="1" containsNumber="1" containsInteger="1" minValue="0" maxValue="2058"/>
    </cacheField>
    <cacheField name="Summer 2023 " numFmtId="0">
      <sharedItems containsString="0" containsBlank="1" containsNumber="1" containsInteger="1" minValue="0" maxValue="282"/>
    </cacheField>
    <cacheField name="Other 2023 " numFmtId="0">
      <sharedItems containsString="0" containsBlank="1" containsNumber="1" containsInteger="1" minValue="0" maxValue="0"/>
    </cacheField>
    <cacheField name="22-23 Total" numFmtId="0">
      <sharedItems containsString="0" containsBlank="1" containsNumber="1" containsInteger="1" minValue="0" maxValue="293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Ian Blake" refreshedDate="45314.493007407407" createdVersion="6" refreshedVersion="6" minRefreshableVersion="3" recordCount="177">
  <cacheSource type="worksheet">
    <worksheetSource ref="A1:I178" sheet="18-19 Data"/>
  </cacheSource>
  <cacheFields count="9">
    <cacheField name="Minor " numFmtId="0">
      <sharedItems/>
    </cacheField>
    <cacheField name="Code" numFmtId="0">
      <sharedItems/>
    </cacheField>
    <cacheField name="College" numFmtId="0">
      <sharedItems count="9">
        <s v="C"/>
        <s v="L"/>
        <s v="A"/>
        <s v="B"/>
        <s v="E"/>
        <s v="R"/>
        <s v="S"/>
        <s v="X"/>
        <s v="o"/>
      </sharedItems>
    </cacheField>
    <cacheField name="Fall 2018 " numFmtId="0">
      <sharedItems containsSemiMixedTypes="0" containsString="0" containsNumber="1" containsInteger="1" minValue="0" maxValue="14"/>
    </cacheField>
    <cacheField name="Winter 2019 " numFmtId="0">
      <sharedItems containsSemiMixedTypes="0" containsString="0" containsNumber="1" containsInteger="1" minValue="0" maxValue="239"/>
    </cacheField>
    <cacheField name="Spring 2019 " numFmtId="0">
      <sharedItems containsSemiMixedTypes="0" containsString="0" containsNumber="1" containsInteger="1" minValue="0" maxValue="1649"/>
    </cacheField>
    <cacheField name="Summer 2019 " numFmtId="0">
      <sharedItems containsSemiMixedTypes="0" containsString="0" containsNumber="1" containsInteger="1" minValue="0" maxValue="313"/>
    </cacheField>
    <cacheField name="Other 2019 " numFmtId="0">
      <sharedItems containsSemiMixedTypes="0" containsString="0" containsNumber="1" containsInteger="1" minValue="0" maxValue="0"/>
    </cacheField>
    <cacheField name="18-19" numFmtId="0">
      <sharedItems containsSemiMixedTypes="0" containsString="0" containsNumber="1" containsInteger="1" minValue="0" maxValue="221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78">
  <r>
    <s v="Accounting (CPAC) "/>
    <s v="CPAC"/>
    <x v="0"/>
    <n v="7"/>
    <n v="13"/>
    <n v="91"/>
    <n v="8"/>
    <n v="0"/>
    <n v="119"/>
  </r>
  <r>
    <s v="African American and African Studies (LAAA) "/>
    <s v="LAAA"/>
    <x v="1"/>
    <n v="2"/>
    <n v="1"/>
    <n v="6"/>
    <n v="0"/>
    <n v="0"/>
    <n v="9"/>
  </r>
  <r>
    <s v="Afro-American Studies (LAAS) "/>
    <s v="LAAS"/>
    <x v="1"/>
    <n v="0"/>
    <n v="0"/>
    <n v="0"/>
    <n v="0"/>
    <n v="0"/>
    <n v="0"/>
  </r>
  <r>
    <s v="Aging and Adult Development (AAAD) "/>
    <s v="AAAD"/>
    <x v="2"/>
    <n v="0"/>
    <n v="0"/>
    <n v="1"/>
    <n v="1"/>
    <n v="0"/>
    <n v="2"/>
  </r>
  <r>
    <s v="Agri Computing and Info Systems (AACI) "/>
    <s v="AACI"/>
    <x v="2"/>
    <n v="0"/>
    <n v="0"/>
    <n v="0"/>
    <n v="0"/>
    <n v="0"/>
    <n v="0"/>
  </r>
  <r>
    <s v="Agric Entomology and Bee Biology (AEBB) "/>
    <s v="AEBB"/>
    <x v="2"/>
    <n v="0"/>
    <n v="0"/>
    <n v="0"/>
    <n v="0"/>
    <n v="0"/>
    <n v="0"/>
  </r>
  <r>
    <s v="Agricultural and Managerial Economics (AAME) "/>
    <s v="AAME"/>
    <x v="2"/>
    <n v="0"/>
    <n v="0"/>
    <n v="0"/>
    <n v="0"/>
    <n v="0"/>
    <n v="0"/>
  </r>
  <r>
    <s v="Agricultural and Resource Economics (AARE) "/>
    <s v="AARE"/>
    <x v="2"/>
    <n v="0"/>
    <n v="0"/>
    <n v="0"/>
    <n v="0"/>
    <n v="0"/>
    <n v="0"/>
  </r>
  <r>
    <s v="Agricultural Entomology (AAEN) "/>
    <s v="AAEN"/>
    <x v="2"/>
    <n v="0"/>
    <n v="0"/>
    <n v="0"/>
    <n v="0"/>
    <n v="0"/>
    <n v="0"/>
  </r>
  <r>
    <s v="Agricultural Pest Management (AAPM) "/>
    <s v="AAPM"/>
    <x v="2"/>
    <n v="0"/>
    <n v="0"/>
    <n v="0"/>
    <n v="0"/>
    <n v="0"/>
    <n v="0"/>
  </r>
  <r>
    <s v="Agricultural Systems and Environment (AASE) "/>
    <s v="AASE"/>
    <x v="2"/>
    <n v="0"/>
    <n v="1"/>
    <n v="0"/>
    <n v="0"/>
    <n v="0"/>
    <n v="1"/>
  </r>
  <r>
    <s v="American Studies (LAMS) "/>
    <s v="LAMS"/>
    <x v="1"/>
    <n v="1"/>
    <n v="1"/>
    <n v="4"/>
    <n v="0"/>
    <n v="0"/>
    <n v="6"/>
  </r>
  <r>
    <s v="Animal Science (AANS) "/>
    <s v="AANS"/>
    <x v="2"/>
    <n v="0"/>
    <n v="2"/>
    <n v="6"/>
    <n v="0"/>
    <n v="0"/>
    <n v="8"/>
  </r>
  <r>
    <s v="Anthropology (LANP) "/>
    <s v="LANP"/>
    <x v="1"/>
    <n v="0"/>
    <n v="0"/>
    <n v="0"/>
    <n v="0"/>
    <n v="0"/>
    <n v="0"/>
  </r>
  <r>
    <s v="Anthropology (LANT) "/>
    <s v="LANT"/>
    <x v="1"/>
    <n v="3"/>
    <n v="8"/>
    <n v="17"/>
    <n v="3"/>
    <n v="0"/>
    <n v="31"/>
  </r>
  <r>
    <s v="Apiculture (AAPI) "/>
    <s v="AAPI"/>
    <x v="2"/>
    <n v="0"/>
    <n v="0"/>
    <n v="0"/>
    <n v="0"/>
    <n v="0"/>
    <n v="0"/>
  </r>
  <r>
    <s v="Applied Behavioral Science (AABS) "/>
    <s v="AABS"/>
    <x v="2"/>
    <n v="0"/>
    <n v="0"/>
    <n v="0"/>
    <n v="0"/>
    <n v="0"/>
    <n v="0"/>
  </r>
  <r>
    <s v="Applied Biol Systems and Tech (AABT) "/>
    <s v="AABT"/>
    <x v="2"/>
    <n v="0"/>
    <n v="0"/>
    <n v="0"/>
    <n v="0"/>
    <n v="0"/>
    <n v="0"/>
  </r>
  <r>
    <s v="Applied Computing and Information Systems (AACS) "/>
    <s v="AACS"/>
    <x v="2"/>
    <n v="0"/>
    <n v="0"/>
    <n v="0"/>
    <n v="0"/>
    <n v="0"/>
    <n v="0"/>
  </r>
  <r>
    <s v="Arab Studies (LARS) "/>
    <s v="LARS"/>
    <x v="1"/>
    <n v="0"/>
    <n v="0"/>
    <n v="0"/>
    <n v="1"/>
    <n v="0"/>
    <n v="1"/>
  </r>
  <r>
    <s v="Arabic (LARA) "/>
    <s v="LARA"/>
    <x v="1"/>
    <n v="1"/>
    <n v="0"/>
    <n v="0"/>
    <n v="0"/>
    <n v="0"/>
    <n v="1"/>
  </r>
  <r>
    <s v="Art History (LAHI) "/>
    <s v="LAHI"/>
    <x v="1"/>
    <n v="5"/>
    <n v="2"/>
    <n v="19"/>
    <n v="3"/>
    <n v="0"/>
    <n v="29"/>
  </r>
  <r>
    <s v="Art Studio (LASD) "/>
    <s v="LASD"/>
    <x v="1"/>
    <n v="2"/>
    <n v="1"/>
    <n v="5"/>
    <n v="2"/>
    <n v="0"/>
    <n v="10"/>
  </r>
  <r>
    <s v="Asian American Studies (LASA) "/>
    <s v="LASA"/>
    <x v="1"/>
    <n v="1"/>
    <n v="2"/>
    <n v="16"/>
    <n v="4"/>
    <n v="0"/>
    <n v="23"/>
  </r>
  <r>
    <s v="Asian American Studies (LASO) "/>
    <s v="LASO"/>
    <x v="1"/>
    <n v="0"/>
    <n v="0"/>
    <n v="0"/>
    <n v="0"/>
    <n v="0"/>
    <n v="0"/>
  </r>
  <r>
    <s v="Atmospheric Science (AATM) "/>
    <s v="AATM"/>
    <x v="2"/>
    <n v="0"/>
    <n v="0"/>
    <n v="0"/>
    <n v="0"/>
    <n v="0"/>
    <n v="0"/>
  </r>
  <r>
    <s v="Avian Sciences (AAVS) "/>
    <s v="AAVS"/>
    <x v="2"/>
    <n v="1"/>
    <n v="0"/>
    <n v="1"/>
    <n v="0"/>
    <n v="0"/>
    <n v="2"/>
  </r>
  <r>
    <s v="Biological Sciences (ABIS) "/>
    <s v="ABIS"/>
    <x v="2"/>
    <n v="0"/>
    <n v="0"/>
    <n v="0"/>
    <n v="0"/>
    <n v="0"/>
    <n v="0"/>
  </r>
  <r>
    <s v="Biological Sciences (BBIS) "/>
    <s v="BBIS"/>
    <x v="3"/>
    <n v="0"/>
    <n v="1"/>
    <n v="9"/>
    <n v="1"/>
    <n v="0"/>
    <n v="11"/>
  </r>
  <r>
    <s v="Biological Sciences (LBIS) "/>
    <s v="LBIS"/>
    <x v="1"/>
    <n v="0"/>
    <n v="0"/>
    <n v="0"/>
    <n v="0"/>
    <n v="0"/>
    <n v="0"/>
  </r>
  <r>
    <s v="Biomedical Engineering (EBIM) "/>
    <s v="EBIM"/>
    <x v="4"/>
    <n v="0"/>
    <n v="0"/>
    <n v="1"/>
    <n v="0"/>
    <n v="0"/>
    <n v="1"/>
  </r>
  <r>
    <s v="Botany (ABOT) "/>
    <s v="ABOT"/>
    <x v="2"/>
    <n v="0"/>
    <n v="0"/>
    <n v="0"/>
    <n v="0"/>
    <n v="0"/>
    <n v="0"/>
  </r>
  <r>
    <s v="Botany (LBOT) "/>
    <s v="LBOT"/>
    <x v="1"/>
    <n v="0"/>
    <n v="0"/>
    <n v="0"/>
    <n v="0"/>
    <n v="0"/>
    <n v="0"/>
  </r>
  <r>
    <s v="Chemistry (LCHE) "/>
    <s v="LCHE"/>
    <x v="1"/>
    <n v="0"/>
    <n v="1"/>
    <n v="3"/>
    <n v="0"/>
    <n v="0"/>
    <n v="4"/>
  </r>
  <r>
    <s v="Chicana/Chicano Studies (LCHI) "/>
    <s v="LCHI"/>
    <x v="1"/>
    <n v="6"/>
    <n v="4"/>
    <n v="94"/>
    <n v="9"/>
    <n v="0"/>
    <n v="113"/>
  </r>
  <r>
    <s v="Chicano (Mexican-American) Studies (LMXA) "/>
    <s v="LMXA"/>
    <x v="1"/>
    <n v="0"/>
    <n v="0"/>
    <n v="0"/>
    <n v="0"/>
    <n v="0"/>
    <n v="0"/>
  </r>
  <r>
    <s v="Chicano (Mexican-American) Studies (LMXH) "/>
    <s v="LMXH"/>
    <x v="1"/>
    <n v="0"/>
    <n v="0"/>
    <n v="0"/>
    <n v="0"/>
    <n v="0"/>
    <n v="0"/>
  </r>
  <r>
    <s v="Chinese (LCHN) "/>
    <s v="LCHN"/>
    <x v="1"/>
    <n v="3"/>
    <n v="1"/>
    <n v="8"/>
    <n v="0"/>
    <n v="0"/>
    <n v="12"/>
  </r>
  <r>
    <s v="Classical Civilization (LCLC) "/>
    <s v="LCLC"/>
    <x v="1"/>
    <n v="1"/>
    <n v="0"/>
    <n v="4"/>
    <n v="0"/>
    <n v="0"/>
    <n v="5"/>
  </r>
  <r>
    <s v="Climate Science and Policy (ACSP) "/>
    <s v="ACSP"/>
    <x v="2"/>
    <n v="3"/>
    <n v="0"/>
    <n v="5"/>
    <n v="1"/>
    <n v="0"/>
    <n v="9"/>
  </r>
  <r>
    <s v="Coaching Principles and Methods (LCPM) "/>
    <s v="LCPM"/>
    <x v="1"/>
    <n v="0"/>
    <n v="0"/>
    <n v="0"/>
    <n v="0"/>
    <n v="0"/>
    <n v="0"/>
  </r>
  <r>
    <s v="Communication (LCMN) "/>
    <s v="LCMN"/>
    <x v="1"/>
    <n v="12"/>
    <n v="18"/>
    <n v="100"/>
    <n v="20"/>
    <n v="0"/>
    <n v="150"/>
  </r>
  <r>
    <s v="Community Development (ACMD) "/>
    <s v="ACMD"/>
    <x v="2"/>
    <n v="0"/>
    <n v="1"/>
    <n v="13"/>
    <n v="1"/>
    <n v="0"/>
    <n v="15"/>
  </r>
  <r>
    <s v="Community Nutrition (ACMN) "/>
    <s v="ACMN"/>
    <x v="2"/>
    <n v="0"/>
    <n v="0"/>
    <n v="1"/>
    <n v="0"/>
    <n v="0"/>
    <n v="1"/>
  </r>
  <r>
    <s v="Comparative Literature (LCOM) "/>
    <s v="LCOM"/>
    <x v="1"/>
    <n v="0"/>
    <n v="0"/>
    <n v="6"/>
    <n v="2"/>
    <n v="0"/>
    <n v="8"/>
  </r>
  <r>
    <s v="Computational Applied Science (ECAS) "/>
    <s v="ECAS"/>
    <x v="4"/>
    <n v="0"/>
    <n v="0"/>
    <n v="0"/>
    <n v="0"/>
    <n v="0"/>
    <n v="0"/>
  </r>
  <r>
    <s v="Computational Biology (ECPB) "/>
    <s v="ECPB"/>
    <x v="4"/>
    <n v="1"/>
    <n v="0"/>
    <n v="4"/>
    <n v="1"/>
    <n v="0"/>
    <n v="6"/>
  </r>
  <r>
    <s v="Computer Science (ECSI) "/>
    <s v="ECSI"/>
    <x v="4"/>
    <n v="0"/>
    <n v="0"/>
    <n v="0"/>
    <n v="0"/>
    <n v="0"/>
    <n v="0"/>
  </r>
  <r>
    <s v="Computer Science (LCSI) "/>
    <s v="LCSI"/>
    <x v="1"/>
    <n v="12"/>
    <n v="9"/>
    <n v="32"/>
    <n v="6"/>
    <n v="0"/>
    <n v="59"/>
  </r>
  <r>
    <s v="Construction Engineering and Management (ECEM) "/>
    <s v="ECEM"/>
    <x v="4"/>
    <n v="0"/>
    <n v="0"/>
    <n v="15"/>
    <n v="0"/>
    <n v="0"/>
    <n v="15"/>
  </r>
  <r>
    <s v="Contemporary Leadership (ACLD) "/>
    <s v="ACLD"/>
    <x v="2"/>
    <n v="0"/>
    <n v="0"/>
    <n v="0"/>
    <n v="0"/>
    <n v="0"/>
    <n v="0"/>
  </r>
  <r>
    <s v="Data in Society (LDIS) "/>
    <s v="LDIS"/>
    <x v="1"/>
    <n v="0"/>
    <n v="0"/>
    <n v="0"/>
    <n v="0"/>
    <n v="0"/>
    <n v="0"/>
  </r>
  <r>
    <s v="Dramatic Art (LDRA) "/>
    <s v="LDRA"/>
    <x v="1"/>
    <n v="0"/>
    <n v="0"/>
    <n v="0"/>
    <n v="0"/>
    <n v="0"/>
    <n v="0"/>
  </r>
  <r>
    <s v="East Asian Studies (LEAS) "/>
    <s v="LEAS"/>
    <x v="1"/>
    <n v="0"/>
    <n v="0"/>
    <n v="3"/>
    <n v="1"/>
    <n v="0"/>
    <n v="4"/>
  </r>
  <r>
    <s v="Economics (LECN) "/>
    <s v="LECN"/>
    <x v="1"/>
    <n v="19"/>
    <n v="13"/>
    <n v="48"/>
    <n v="6"/>
    <n v="0"/>
    <n v="86"/>
  </r>
  <r>
    <s v="Economy, Justice, and Society (LEJS) "/>
    <s v="LEJS"/>
    <x v="1"/>
    <n v="0"/>
    <n v="0"/>
    <n v="0"/>
    <n v="0"/>
    <n v="0"/>
    <n v="0"/>
  </r>
  <r>
    <s v="Education (CEDU) "/>
    <s v="CEDU"/>
    <x v="0"/>
    <n v="34"/>
    <n v="30"/>
    <n v="241"/>
    <n v="27"/>
    <n v="0"/>
    <n v="332"/>
  </r>
  <r>
    <s v="Education (LEDU) "/>
    <s v="LEDU"/>
    <x v="1"/>
    <n v="0"/>
    <n v="0"/>
    <n v="0"/>
    <n v="0"/>
    <n v="0"/>
    <n v="0"/>
  </r>
  <r>
    <s v="Electrical Engineering (EEEL) "/>
    <s v="EEEL"/>
    <x v="4"/>
    <n v="0"/>
    <n v="1"/>
    <n v="3"/>
    <n v="0"/>
    <n v="0"/>
    <n v="4"/>
  </r>
  <r>
    <s v="Energy Efficiency (EEFY) "/>
    <s v="EEFY"/>
    <x v="4"/>
    <n v="0"/>
    <n v="0"/>
    <n v="0"/>
    <n v="0"/>
    <n v="0"/>
    <n v="0"/>
  </r>
  <r>
    <s v="Energy Policy (AEGP) "/>
    <s v="AEGP"/>
    <x v="2"/>
    <n v="0"/>
    <n v="0"/>
    <n v="0"/>
    <n v="0"/>
    <n v="0"/>
    <n v="0"/>
  </r>
  <r>
    <s v="Energy Policy (EENP) "/>
    <s v="EENP"/>
    <x v="4"/>
    <n v="0"/>
    <n v="0"/>
    <n v="0"/>
    <n v="0"/>
    <n v="0"/>
    <n v="0"/>
  </r>
  <r>
    <s v="Energy Science and Technology (EEST) "/>
    <s v="EEST"/>
    <x v="4"/>
    <n v="0"/>
    <n v="0"/>
    <n v="0"/>
    <n v="0"/>
    <n v="0"/>
    <n v="0"/>
  </r>
  <r>
    <s v="Engineering Geology (LEGL) "/>
    <s v="LEGL"/>
    <x v="1"/>
    <n v="0"/>
    <n v="0"/>
    <n v="0"/>
    <n v="0"/>
    <n v="0"/>
    <n v="0"/>
  </r>
  <r>
    <s v="English (LENL) "/>
    <s v="LENL"/>
    <x v="1"/>
    <n v="5"/>
    <n v="6"/>
    <n v="36"/>
    <n v="6"/>
    <n v="0"/>
    <n v="53"/>
  </r>
  <r>
    <s v="Entomology (AENT) "/>
    <s v="AENT"/>
    <x v="2"/>
    <n v="0"/>
    <n v="0"/>
    <n v="0"/>
    <n v="0"/>
    <n v="0"/>
    <n v="0"/>
  </r>
  <r>
    <s v="Environmental Biology and Management (AEBM) "/>
    <s v="AEBM"/>
    <x v="2"/>
    <n v="0"/>
    <n v="0"/>
    <n v="0"/>
    <n v="0"/>
    <n v="0"/>
    <n v="0"/>
  </r>
  <r>
    <s v="Environmental Geology (LEGO) "/>
    <s v="LEGO"/>
    <x v="1"/>
    <n v="0"/>
    <n v="0"/>
    <n v="0"/>
    <n v="0"/>
    <n v="0"/>
    <n v="0"/>
  </r>
  <r>
    <s v="Environmental Horticulture (AENH) "/>
    <s v="AENH"/>
    <x v="2"/>
    <n v="1"/>
    <n v="0"/>
    <n v="4"/>
    <n v="0"/>
    <n v="0"/>
    <n v="5"/>
  </r>
  <r>
    <s v="Environmental Policy Analysis (AEPA) "/>
    <s v="AEPA"/>
    <x v="2"/>
    <n v="0"/>
    <n v="0"/>
    <n v="0"/>
    <n v="0"/>
    <n v="0"/>
    <n v="0"/>
  </r>
  <r>
    <s v="Environmental Policy Analysis and Planning (AEPP) "/>
    <s v="AEPP"/>
    <x v="2"/>
    <n v="2"/>
    <n v="3"/>
    <n v="19"/>
    <n v="1"/>
    <n v="0"/>
    <n v="25"/>
  </r>
  <r>
    <s v="Environmental Toxicology (AETX) "/>
    <s v="AETX"/>
    <x v="2"/>
    <n v="0"/>
    <n v="0"/>
    <n v="3"/>
    <n v="0"/>
    <n v="0"/>
    <n v="3"/>
  </r>
  <r>
    <s v="Evolution, Ecology, and Biodiversity (BEEB) "/>
    <s v="BEEB"/>
    <x v="3"/>
    <n v="2"/>
    <n v="0"/>
    <n v="5"/>
    <n v="1"/>
    <n v="0"/>
    <n v="8"/>
  </r>
  <r>
    <s v="Exercise Biology (BEXB) "/>
    <s v="BEXB"/>
    <x v="3"/>
    <n v="0"/>
    <n v="0"/>
    <n v="3"/>
    <n v="0"/>
    <n v="0"/>
    <n v="3"/>
  </r>
  <r>
    <s v="Exercise Biology (LEXB) "/>
    <s v="LEXB"/>
    <x v="1"/>
    <n v="0"/>
    <n v="0"/>
    <n v="0"/>
    <n v="0"/>
    <n v="0"/>
    <n v="0"/>
  </r>
  <r>
    <s v="Exercise Science (LEXS) "/>
    <s v="LEXS"/>
    <x v="1"/>
    <n v="0"/>
    <n v="0"/>
    <n v="0"/>
    <n v="0"/>
    <n v="0"/>
    <n v="0"/>
  </r>
  <r>
    <s v="Expository Writing (LEXW) "/>
    <s v="LEXW"/>
    <x v="1"/>
    <n v="0"/>
    <n v="0"/>
    <n v="0"/>
    <n v="0"/>
    <n v="0"/>
    <n v="0"/>
  </r>
  <r>
    <s v="Fiber and Polymer Science (AFPS) "/>
    <s v="AFPS"/>
    <x v="2"/>
    <n v="0"/>
    <n v="0"/>
    <n v="0"/>
    <n v="0"/>
    <n v="0"/>
    <n v="0"/>
  </r>
  <r>
    <s v="Film Studies (LFMS) "/>
    <s v="LFMS"/>
    <x v="1"/>
    <n v="0"/>
    <n v="0"/>
    <n v="8"/>
    <n v="1"/>
    <n v="0"/>
    <n v="9"/>
  </r>
  <r>
    <s v="Food Service Management (AFSM) "/>
    <s v="AFSM"/>
    <x v="2"/>
    <n v="0"/>
    <n v="0"/>
    <n v="0"/>
    <n v="0"/>
    <n v="0"/>
    <n v="0"/>
  </r>
  <r>
    <s v="Forensic Entomology (AFEN) "/>
    <s v="AFEN"/>
    <x v="2"/>
    <n v="1"/>
    <n v="1"/>
    <n v="2"/>
    <n v="1"/>
    <n v="0"/>
    <n v="5"/>
  </r>
  <r>
    <s v="French (LFRE) "/>
    <s v="LFRE"/>
    <x v="1"/>
    <n v="0"/>
    <n v="1"/>
    <n v="6"/>
    <n v="0"/>
    <n v="0"/>
    <n v="7"/>
  </r>
  <r>
    <s v="Fungal Biology and Ecology (AFBE) "/>
    <s v="AFBE"/>
    <x v="2"/>
    <n v="0"/>
    <n v="0"/>
    <n v="0"/>
    <n v="0"/>
    <n v="0"/>
    <n v="0"/>
  </r>
  <r>
    <s v="Gender, Sexuality, and Women's Studies (LGSW) "/>
    <s v="LGSW"/>
    <x v="1"/>
    <n v="0"/>
    <n v="2"/>
    <n v="11"/>
    <n v="1"/>
    <n v="0"/>
    <n v="14"/>
  </r>
  <r>
    <s v="Geographic Information Systems (AGIS) "/>
    <s v="AGIS"/>
    <x v="2"/>
    <n v="0"/>
    <n v="0"/>
    <n v="4"/>
    <n v="0"/>
    <n v="0"/>
    <n v="4"/>
  </r>
  <r>
    <s v="Geographic Studies (AGES) "/>
    <s v="AGES"/>
    <x v="2"/>
    <n v="0"/>
    <n v="0"/>
    <n v="0"/>
    <n v="0"/>
    <n v="0"/>
    <n v="0"/>
  </r>
  <r>
    <s v="Geography (LGEG) "/>
    <s v="LGEG"/>
    <x v="1"/>
    <n v="0"/>
    <n v="0"/>
    <n v="0"/>
    <n v="0"/>
    <n v="0"/>
    <n v="0"/>
  </r>
  <r>
    <s v="Geography (LGEO) "/>
    <s v="LGEO"/>
    <x v="1"/>
    <n v="0"/>
    <n v="0"/>
    <n v="0"/>
    <n v="0"/>
    <n v="0"/>
    <n v="0"/>
  </r>
  <r>
    <s v="Geology (LGEL) "/>
    <s v="LGEL"/>
    <x v="1"/>
    <n v="3"/>
    <n v="0"/>
    <n v="7"/>
    <n v="1"/>
    <n v="0"/>
    <n v="11"/>
  </r>
  <r>
    <s v="Geophysics (LGPH) "/>
    <s v="LGPH"/>
    <x v="1"/>
    <n v="0"/>
    <n v="0"/>
    <n v="0"/>
    <n v="0"/>
    <n v="0"/>
    <n v="0"/>
  </r>
  <r>
    <s v="German (LGER) "/>
    <s v="LGER"/>
    <x v="1"/>
    <n v="0"/>
    <n v="0"/>
    <n v="3"/>
    <n v="1"/>
    <n v="0"/>
    <n v="4"/>
  </r>
  <r>
    <s v="Global and International Studies (LGIS) "/>
    <s v="LGIS"/>
    <x v="1"/>
    <n v="0"/>
    <n v="0"/>
    <n v="1"/>
    <n v="0"/>
    <n v="0"/>
    <n v="1"/>
  </r>
  <r>
    <s v="Global Disease Biology (AGDB) "/>
    <s v="AGDB"/>
    <x v="2"/>
    <n v="2"/>
    <n v="0"/>
    <n v="21"/>
    <n v="1"/>
    <n v="0"/>
    <n v="24"/>
  </r>
  <r>
    <s v="Global Studies (LGLO) "/>
    <s v="LGLO"/>
    <x v="1"/>
    <n v="3"/>
    <n v="2"/>
    <n v="6"/>
    <n v="1"/>
    <n v="0"/>
    <n v="12"/>
  </r>
  <r>
    <s v="Greek (LGRK) "/>
    <s v="LGRK"/>
    <x v="1"/>
    <n v="0"/>
    <n v="0"/>
    <n v="0"/>
    <n v="0"/>
    <n v="0"/>
    <n v="0"/>
  </r>
  <r>
    <s v="History (LHIS) "/>
    <s v="LHIS"/>
    <x v="1"/>
    <n v="5"/>
    <n v="10"/>
    <n v="40"/>
    <n v="7"/>
    <n v="0"/>
    <n v="62"/>
  </r>
  <r>
    <s v="History and Philosophy of Science (LHPS) "/>
    <s v="LHPS"/>
    <x v="1"/>
    <n v="0"/>
    <n v="0"/>
    <n v="0"/>
    <n v="0"/>
    <n v="0"/>
    <n v="0"/>
  </r>
  <r>
    <s v="Human Development (AHDE) "/>
    <s v="AHDE"/>
    <x v="2"/>
    <n v="2"/>
    <n v="15"/>
    <n v="83"/>
    <n v="10"/>
    <n v="0"/>
    <n v="110"/>
  </r>
  <r>
    <s v="Human Physiology (BHPY) "/>
    <s v="BHPY"/>
    <x v="3"/>
    <n v="0"/>
    <n v="1"/>
    <n v="10"/>
    <n v="1"/>
    <n v="0"/>
    <n v="12"/>
  </r>
  <r>
    <s v="Human Rights (LHMR) "/>
    <s v="LHMR"/>
    <x v="1"/>
    <n v="8"/>
    <n v="9"/>
    <n v="58"/>
    <n v="4"/>
    <n v="0"/>
    <n v="79"/>
  </r>
  <r>
    <s v="Hydrologic Science (AHYS) "/>
    <s v="AHYS"/>
    <x v="2"/>
    <n v="0"/>
    <n v="0"/>
    <n v="0"/>
    <n v="0"/>
    <n v="0"/>
    <n v="0"/>
  </r>
  <r>
    <s v="Hydrology (AHYD) "/>
    <s v="AHYD"/>
    <x v="2"/>
    <n v="0"/>
    <n v="0"/>
    <n v="0"/>
    <n v="0"/>
    <n v="0"/>
    <n v="0"/>
  </r>
  <r>
    <s v="India and South Asia Studies (LISA) "/>
    <s v="LISA"/>
    <x v="1"/>
    <n v="0"/>
    <n v="0"/>
    <n v="1"/>
    <n v="0"/>
    <n v="0"/>
    <n v="1"/>
  </r>
  <r>
    <s v="Insect Biology (AINB) "/>
    <s v="AINB"/>
    <x v="2"/>
    <n v="0"/>
    <n v="0"/>
    <n v="0"/>
    <n v="0"/>
    <n v="0"/>
    <n v="0"/>
  </r>
  <r>
    <s v="Insect Ecology (AISE) "/>
    <s v="AISE"/>
    <x v="2"/>
    <n v="0"/>
    <n v="0"/>
    <n v="0"/>
    <n v="0"/>
    <n v="0"/>
    <n v="0"/>
  </r>
  <r>
    <s v="Insect Ecology and Evolution (AIEE) "/>
    <s v="AIEE"/>
    <x v="2"/>
    <n v="0"/>
    <n v="0"/>
    <n v="0"/>
    <n v="0"/>
    <n v="0"/>
    <n v="0"/>
  </r>
  <r>
    <s v="International Agricultural Development (AIAD) "/>
    <s v="AIAD"/>
    <x v="2"/>
    <n v="0"/>
    <n v="0"/>
    <n v="1"/>
    <n v="0"/>
    <n v="0"/>
    <n v="1"/>
  </r>
  <r>
    <s v="International Science Studies (AISS) "/>
    <s v="AISS"/>
    <x v="2"/>
    <n v="0"/>
    <n v="0"/>
    <n v="0"/>
    <n v="0"/>
    <n v="0"/>
    <n v="0"/>
  </r>
  <r>
    <s v="Iran and Persian Studies (LIPS) "/>
    <s v="LIPS"/>
    <x v="1"/>
    <n v="0"/>
    <n v="0"/>
    <n v="0"/>
    <n v="0"/>
    <n v="0"/>
    <n v="0"/>
  </r>
  <r>
    <s v="Italian (LITA) "/>
    <s v="LITA"/>
    <x v="1"/>
    <n v="0"/>
    <n v="0"/>
    <n v="0"/>
    <n v="0"/>
    <n v="0"/>
    <n v="0"/>
  </r>
  <r>
    <s v="Japanese (LJPN) "/>
    <s v="LJPN"/>
    <x v="1"/>
    <n v="3"/>
    <n v="1"/>
    <n v="25"/>
    <n v="3"/>
    <n v="0"/>
    <n v="32"/>
  </r>
  <r>
    <s v="Jewish Studies (LJES) "/>
    <s v="LJES"/>
    <x v="1"/>
    <n v="0"/>
    <n v="0"/>
    <n v="0"/>
    <n v="0"/>
    <n v="0"/>
    <n v="0"/>
  </r>
  <r>
    <s v="Landscape Restoration (ALDR) "/>
    <s v="ALDR"/>
    <x v="2"/>
    <n v="1"/>
    <n v="0"/>
    <n v="3"/>
    <n v="1"/>
    <n v="0"/>
    <n v="5"/>
  </r>
  <r>
    <s v="Latin (LLAT) "/>
    <s v="LLAT"/>
    <x v="1"/>
    <n v="0"/>
    <n v="0"/>
    <n v="0"/>
    <n v="0"/>
    <n v="0"/>
    <n v="0"/>
  </r>
  <r>
    <s v="Latin American and Hemispheric Studies (LLAH) "/>
    <s v="LLAH"/>
    <x v="1"/>
    <n v="1"/>
    <n v="1"/>
    <n v="3"/>
    <n v="2"/>
    <n v="0"/>
    <n v="7"/>
  </r>
  <r>
    <s v="Linguistics (LLIN) "/>
    <s v="LLIN"/>
    <x v="1"/>
    <n v="1"/>
    <n v="1"/>
    <n v="14"/>
    <n v="0"/>
    <n v="0"/>
    <n v="16"/>
  </r>
  <r>
    <s v="Linguistics for Language Teachers (LLLT) "/>
    <s v="LLLT"/>
    <x v="1"/>
    <n v="0"/>
    <n v="0"/>
    <n v="0"/>
    <n v="0"/>
    <n v="0"/>
    <n v="0"/>
  </r>
  <r>
    <s v="Luso-Brazilian Studies (LLBS) "/>
    <s v="LLBS"/>
    <x v="1"/>
    <n v="0"/>
    <n v="1"/>
    <n v="2"/>
    <n v="0"/>
    <n v="0"/>
    <n v="3"/>
  </r>
  <r>
    <s v="Managerial Economics (AMGE) "/>
    <s v="AMGE"/>
    <x v="2"/>
    <n v="1"/>
    <n v="2"/>
    <n v="14"/>
    <n v="3"/>
    <n v="0"/>
    <n v="20"/>
  </r>
  <r>
    <s v="Materials Science (EMTS) "/>
    <s v="EMTS"/>
    <x v="4"/>
    <n v="0"/>
    <n v="0"/>
    <n v="0"/>
    <n v="1"/>
    <n v="0"/>
    <n v="1"/>
  </r>
  <r>
    <s v="Mathematics (LMAT) "/>
    <s v="LMAT"/>
    <x v="1"/>
    <n v="4"/>
    <n v="2"/>
    <n v="20"/>
    <n v="1"/>
    <n v="0"/>
    <n v="27"/>
  </r>
  <r>
    <s v="Medical Humanities (LMHU) "/>
    <s v="LMHU"/>
    <x v="1"/>
    <n v="0"/>
    <n v="0"/>
    <n v="0"/>
    <n v="0"/>
    <n v="0"/>
    <n v="0"/>
  </r>
  <r>
    <s v="Medical-Veterinary Entomology (AMVE) "/>
    <s v="AMVE"/>
    <x v="2"/>
    <n v="1"/>
    <n v="1"/>
    <n v="1"/>
    <n v="0"/>
    <n v="0"/>
    <n v="3"/>
  </r>
  <r>
    <s v="Medieval and Early Modern Studies (LMMS) "/>
    <s v="LMMS"/>
    <x v="1"/>
    <n v="0"/>
    <n v="0"/>
    <n v="1"/>
    <n v="0"/>
    <n v="0"/>
    <n v="1"/>
  </r>
  <r>
    <s v="Medieval Studies (LMST) "/>
    <s v="LMST"/>
    <x v="1"/>
    <n v="0"/>
    <n v="0"/>
    <n v="0"/>
    <n v="0"/>
    <n v="0"/>
    <n v="0"/>
  </r>
  <r>
    <s v="Middle East/South Asia Studies (LMSA) "/>
    <s v="LMSA"/>
    <x v="1"/>
    <n v="1"/>
    <n v="0"/>
    <n v="4"/>
    <n v="0"/>
    <n v="0"/>
    <n v="5"/>
  </r>
  <r>
    <s v="Museum Studies (LAHM) "/>
    <s v="LAHM"/>
    <x v="1"/>
    <n v="0"/>
    <n v="1"/>
    <n v="14"/>
    <n v="0"/>
    <n v="0"/>
    <n v="15"/>
  </r>
  <r>
    <s v="Music (LMUS) "/>
    <s v="LMUS"/>
    <x v="1"/>
    <n v="2"/>
    <n v="9"/>
    <n v="26"/>
    <n v="3"/>
    <n v="0"/>
    <n v="40"/>
  </r>
  <r>
    <s v="Native American Studies (LNAS) "/>
    <s v="LNAS"/>
    <x v="1"/>
    <n v="1"/>
    <n v="2"/>
    <n v="12"/>
    <n v="1"/>
    <n v="0"/>
    <n v="16"/>
  </r>
  <r>
    <s v="Nature and Culture (LNAC) "/>
    <s v="LNAC"/>
    <x v="1"/>
    <n v="0"/>
    <n v="1"/>
    <n v="0"/>
    <n v="0"/>
    <n v="0"/>
    <n v="1"/>
  </r>
  <r>
    <s v="Nematology (ANEM) "/>
    <s v="ANEM"/>
    <x v="2"/>
    <n v="0"/>
    <n v="0"/>
    <n v="0"/>
    <n v="0"/>
    <n v="0"/>
    <n v="0"/>
  </r>
  <r>
    <s v="Neuroscience (ANEU) "/>
    <s v="ANEU"/>
    <x v="2"/>
    <n v="0"/>
    <n v="0"/>
    <n v="0"/>
    <n v="0"/>
    <n v="0"/>
    <n v="0"/>
  </r>
  <r>
    <s v="Neuroscience (BNEU) "/>
    <s v="BNEU"/>
    <x v="3"/>
    <n v="5"/>
    <n v="1"/>
    <n v="20"/>
    <n v="5"/>
    <n v="0"/>
    <n v="31"/>
  </r>
  <r>
    <s v="Neuroscience (LNEU) "/>
    <s v="LNEU"/>
    <x v="1"/>
    <n v="0"/>
    <n v="0"/>
    <n v="1"/>
    <n v="0"/>
    <n v="0"/>
    <n v="1"/>
  </r>
  <r>
    <s v="Nutrition and Food (ANAF) "/>
    <s v="ANAF"/>
    <x v="2"/>
    <n v="0"/>
    <n v="0"/>
    <n v="2"/>
    <n v="0"/>
    <n v="0"/>
    <n v="2"/>
  </r>
  <r>
    <s v="Nutrition Science (ANSC) "/>
    <s v="ANSC"/>
    <x v="2"/>
    <n v="0"/>
    <n v="0"/>
    <n v="3"/>
    <n v="0"/>
    <n v="0"/>
    <n v="3"/>
  </r>
  <r>
    <s v="Oceanography (LOCN) "/>
    <s v="LOCN"/>
    <x v="1"/>
    <n v="0"/>
    <n v="1"/>
    <n v="1"/>
    <n v="0"/>
    <n v="0"/>
    <n v="2"/>
  </r>
  <r>
    <s v="Optical Science and Engineering (EOSE) "/>
    <s v="EOSE"/>
    <x v="4"/>
    <n v="0"/>
    <n v="0"/>
    <n v="0"/>
    <n v="0"/>
    <n v="0"/>
    <n v="0"/>
  </r>
  <r>
    <s v="Philosophy (LPHI) "/>
    <s v="LPHI"/>
    <x v="1"/>
    <n v="2"/>
    <n v="3"/>
    <n v="21"/>
    <n v="6"/>
    <n v="0"/>
    <n v="32"/>
  </r>
  <r>
    <s v="Physical Education (LPHE) "/>
    <s v="LPHE"/>
    <x v="1"/>
    <n v="0"/>
    <n v="0"/>
    <n v="0"/>
    <n v="0"/>
    <n v="0"/>
    <n v="0"/>
  </r>
  <r>
    <s v="Physics (LPHY) "/>
    <s v="LPHY"/>
    <x v="1"/>
    <n v="0"/>
    <n v="0"/>
    <n v="1"/>
    <n v="0"/>
    <n v="0"/>
    <n v="1"/>
  </r>
  <r>
    <s v="Physiology (APHS) "/>
    <s v="APHS"/>
    <x v="2"/>
    <n v="0"/>
    <n v="0"/>
    <n v="0"/>
    <n v="0"/>
    <n v="0"/>
    <n v="0"/>
  </r>
  <r>
    <s v="Physiology (LPHS) "/>
    <s v="LPHS"/>
    <x v="1"/>
    <n v="0"/>
    <n v="0"/>
    <n v="0"/>
    <n v="0"/>
    <n v="0"/>
    <n v="0"/>
  </r>
  <r>
    <s v="Plant Biology (APLB) "/>
    <s v="APLB"/>
    <x v="2"/>
    <n v="0"/>
    <n v="0"/>
    <n v="0"/>
    <n v="0"/>
    <n v="0"/>
    <n v="0"/>
  </r>
  <r>
    <s v="Plant Biology (BPLB) "/>
    <s v="BPLB"/>
    <x v="3"/>
    <n v="0"/>
    <n v="1"/>
    <n v="4"/>
    <n v="0"/>
    <n v="0"/>
    <n v="5"/>
  </r>
  <r>
    <s v="Plant Biology (LPLB) "/>
    <s v="LPLB"/>
    <x v="1"/>
    <n v="0"/>
    <n v="0"/>
    <n v="0"/>
    <n v="0"/>
    <n v="0"/>
    <n v="0"/>
  </r>
  <r>
    <s v="Political Science (LPOL) "/>
    <s v="LPOL"/>
    <x v="1"/>
    <n v="2"/>
    <n v="5"/>
    <n v="25"/>
    <n v="3"/>
    <n v="0"/>
    <n v="35"/>
  </r>
  <r>
    <s v="Precision Agriculture (APAG) "/>
    <s v="APAG"/>
    <x v="2"/>
    <n v="0"/>
    <n v="0"/>
    <n v="1"/>
    <n v="0"/>
    <n v="0"/>
    <n v="1"/>
  </r>
  <r>
    <s v="Professional Writing (LPWR) "/>
    <s v="LPWR"/>
    <x v="1"/>
    <n v="5"/>
    <n v="8"/>
    <n v="40"/>
    <n v="3"/>
    <n v="0"/>
    <n v="56"/>
  </r>
  <r>
    <s v="Psychology (LPSC) "/>
    <s v="LPSC"/>
    <x v="1"/>
    <n v="17"/>
    <n v="24"/>
    <n v="149"/>
    <n v="24"/>
    <n v="0"/>
    <n v="214"/>
  </r>
  <r>
    <s v="Public Health Sciences (CSPH) "/>
    <s v="CSPH"/>
    <x v="0"/>
    <n v="19"/>
    <n v="25"/>
    <n v="162"/>
    <n v="23"/>
    <n v="0"/>
    <n v="229"/>
  </r>
  <r>
    <s v="Quant Biol and Bioinformatics (AQBB) "/>
    <s v="AQBB"/>
    <x v="2"/>
    <n v="0"/>
    <n v="0"/>
    <n v="0"/>
    <n v="0"/>
    <n v="0"/>
    <n v="0"/>
  </r>
  <r>
    <s v="Quantitative Biology and Bioinformatics (BQBB) "/>
    <s v="BQBB"/>
    <x v="3"/>
    <n v="1"/>
    <n v="1"/>
    <n v="7"/>
    <n v="0"/>
    <n v="0"/>
    <n v="9"/>
  </r>
  <r>
    <s v="Quantitative Biology and Bioinformatics (LQBB) "/>
    <s v="LQBB"/>
    <x v="1"/>
    <n v="0"/>
    <n v="0"/>
    <n v="0"/>
    <n v="0"/>
    <n v="0"/>
    <n v="0"/>
  </r>
  <r>
    <s v="Recreation (AREC) "/>
    <s v="AREC"/>
    <x v="2"/>
    <n v="0"/>
    <n v="0"/>
    <n v="0"/>
    <n v="0"/>
    <n v="0"/>
    <n v="0"/>
  </r>
  <r>
    <s v="Religious Studies (LRST) "/>
    <s v="LRST"/>
    <x v="1"/>
    <n v="3"/>
    <n v="7"/>
    <n v="9"/>
    <n v="1"/>
    <n v="0"/>
    <n v="20"/>
  </r>
  <r>
    <s v="Retroactive Degree (RETR) "/>
    <s v="RETR"/>
    <x v="5"/>
    <n v="0"/>
    <n v="0"/>
    <n v="0"/>
    <n v="0"/>
    <n v="0"/>
    <n v="0"/>
  </r>
  <r>
    <s v="Rhetoric and Communication (LRCM) "/>
    <s v="LRCM"/>
    <x v="1"/>
    <n v="0"/>
    <n v="0"/>
    <n v="0"/>
    <n v="0"/>
    <n v="0"/>
    <n v="0"/>
  </r>
  <r>
    <s v="Russian (LRUS) "/>
    <s v="LRUS"/>
    <x v="1"/>
    <n v="1"/>
    <n v="0"/>
    <n v="2"/>
    <n v="0"/>
    <n v="0"/>
    <n v="3"/>
  </r>
  <r>
    <s v="Science and Society (ASAS) "/>
    <s v="ASAS"/>
    <x v="2"/>
    <n v="0"/>
    <n v="0"/>
    <n v="0"/>
    <n v="0"/>
    <n v="0"/>
    <n v="0"/>
  </r>
  <r>
    <s v="Sexuality Studies (LSXS) "/>
    <s v="LSXS"/>
    <x v="1"/>
    <n v="1"/>
    <n v="4"/>
    <n v="1"/>
    <n v="1"/>
    <n v="0"/>
    <n v="7"/>
  </r>
  <r>
    <s v="Social and Ethnic Relations (LSER) "/>
    <s v="LSER"/>
    <x v="1"/>
    <n v="0"/>
    <n v="1"/>
    <n v="3"/>
    <n v="1"/>
    <n v="0"/>
    <n v="5"/>
  </r>
  <r>
    <s v="Social, Ethnic, and Gender Relations (LSEG) "/>
    <s v="LSEG"/>
    <x v="1"/>
    <n v="0"/>
    <n v="0"/>
    <n v="8"/>
    <n v="1"/>
    <n v="0"/>
    <n v="9"/>
  </r>
  <r>
    <s v="Sociology (LSOC) "/>
    <s v="LSOC"/>
    <x v="1"/>
    <n v="13"/>
    <n v="20"/>
    <n v="77"/>
    <n v="17"/>
    <n v="0"/>
    <n v="127"/>
  </r>
  <r>
    <s v="Soil Science (ASSC) "/>
    <s v="ASSC"/>
    <x v="2"/>
    <n v="0"/>
    <n v="0"/>
    <n v="0"/>
    <n v="0"/>
    <n v="0"/>
    <n v="0"/>
  </r>
  <r>
    <s v="Spanish (LSPA) "/>
    <s v="LSPA"/>
    <x v="1"/>
    <n v="4"/>
    <n v="2"/>
    <n v="40"/>
    <n v="8"/>
    <n v="0"/>
    <n v="54"/>
  </r>
  <r>
    <s v="Statistics (LSTA) "/>
    <s v="LSTA"/>
    <x v="1"/>
    <n v="7"/>
    <n v="12"/>
    <n v="52"/>
    <n v="6"/>
    <n v="0"/>
    <n v="77"/>
  </r>
  <r>
    <s v="Sustainability in the Built Environment (ESBE) "/>
    <s v="ESBE"/>
    <x v="4"/>
    <n v="1"/>
    <n v="2"/>
    <n v="26"/>
    <n v="1"/>
    <n v="0"/>
    <n v="30"/>
  </r>
  <r>
    <s v="Technology Management (STMG) "/>
    <s v="STMG"/>
    <x v="6"/>
    <n v="21"/>
    <n v="26"/>
    <n v="155"/>
    <n v="28"/>
    <n v="0"/>
    <n v="230"/>
  </r>
  <r>
    <s v="Textiles and Clothing (ATXC) "/>
    <s v="ATXC"/>
    <x v="2"/>
    <n v="0"/>
    <n v="0"/>
    <n v="0"/>
    <n v="0"/>
    <n v="0"/>
    <n v="0"/>
  </r>
  <r>
    <s v="Theatre and Dance (LTAD) "/>
    <s v="LTAD"/>
    <x v="1"/>
    <n v="1"/>
    <n v="1"/>
    <n v="6"/>
    <n v="1"/>
    <n v="0"/>
    <n v="9"/>
  </r>
  <r>
    <s v="UNKNOWN (XXXX) "/>
    <s v="XXXX"/>
    <x v="7"/>
    <n v="0"/>
    <n v="0"/>
    <n v="0"/>
    <n v="0"/>
    <n v="0"/>
    <n v="0"/>
  </r>
  <r>
    <s v="War-Peace Studies (LWPS) "/>
    <s v="LWPS"/>
    <x v="1"/>
    <n v="0"/>
    <n v="1"/>
    <n v="2"/>
    <n v="0"/>
    <n v="0"/>
    <n v="3"/>
  </r>
  <r>
    <s v="Watershed Science (AWTS) "/>
    <s v="AWTS"/>
    <x v="2"/>
    <n v="0"/>
    <n v="1"/>
    <n v="1"/>
    <n v="0"/>
    <n v="0"/>
    <n v="2"/>
  </r>
  <r>
    <s v="Wildlife, Fish, and Conservation Biology (AWFC) "/>
    <s v="AWFC"/>
    <x v="2"/>
    <n v="1"/>
    <n v="1"/>
    <n v="12"/>
    <n v="4"/>
    <n v="0"/>
    <n v="18"/>
  </r>
  <r>
    <s v="Women's Studies (LWMS) "/>
    <s v="LWMS"/>
    <x v="1"/>
    <n v="0"/>
    <n v="0"/>
    <n v="0"/>
    <n v="0"/>
    <n v="0"/>
    <n v="0"/>
  </r>
  <r>
    <m/>
    <m/>
    <x v="8"/>
    <m/>
    <m/>
    <m/>
    <m/>
    <m/>
    <m/>
  </r>
  <r>
    <s v="Totals "/>
    <s v=" "/>
    <x v="9"/>
    <n v="268"/>
    <n v="329"/>
    <n v="2058"/>
    <n v="282"/>
    <n v="0"/>
    <n v="29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77">
  <r>
    <s v="Accounting (CPAC) "/>
    <s v="CPAC"/>
    <x v="0"/>
    <n v="0"/>
    <n v="7"/>
    <n v="82"/>
    <n v="6"/>
    <n v="0"/>
    <n v="95"/>
  </r>
  <r>
    <s v="African American and African Studies (LAAA) "/>
    <s v="LAAA"/>
    <x v="1"/>
    <n v="0"/>
    <n v="0"/>
    <n v="7"/>
    <n v="4"/>
    <n v="0"/>
    <n v="11"/>
  </r>
  <r>
    <s v="Afro-American Studies (LAAS) "/>
    <s v="LAAS"/>
    <x v="1"/>
    <n v="0"/>
    <n v="0"/>
    <n v="0"/>
    <n v="0"/>
    <n v="0"/>
    <n v="0"/>
  </r>
  <r>
    <s v="Aging and Adult Development (AAAD) "/>
    <s v="AAAD"/>
    <x v="2"/>
    <n v="0"/>
    <n v="1"/>
    <n v="4"/>
    <n v="1"/>
    <n v="0"/>
    <n v="6"/>
  </r>
  <r>
    <s v="Agri Computing and Info Systems (AACI) "/>
    <s v="AACI"/>
    <x v="2"/>
    <n v="0"/>
    <n v="0"/>
    <n v="0"/>
    <n v="0"/>
    <n v="0"/>
    <n v="0"/>
  </r>
  <r>
    <s v="Agric Entomology and Bee Biology (AEBB) "/>
    <s v="AEBB"/>
    <x v="2"/>
    <n v="0"/>
    <n v="0"/>
    <n v="0"/>
    <n v="0"/>
    <n v="0"/>
    <n v="0"/>
  </r>
  <r>
    <s v="Agricultural and Managerial Economics (AAME) "/>
    <s v="AAME"/>
    <x v="2"/>
    <n v="0"/>
    <n v="0"/>
    <n v="0"/>
    <n v="0"/>
    <n v="0"/>
    <n v="0"/>
  </r>
  <r>
    <s v="Agricultural and Resource Economics (AARE) "/>
    <s v="AARE"/>
    <x v="2"/>
    <n v="0"/>
    <n v="0"/>
    <n v="0"/>
    <n v="0"/>
    <n v="0"/>
    <n v="0"/>
  </r>
  <r>
    <s v="Agricultural Entomology (AAEN) "/>
    <s v="AAEN"/>
    <x v="2"/>
    <n v="0"/>
    <n v="0"/>
    <n v="0"/>
    <n v="0"/>
    <n v="0"/>
    <n v="0"/>
  </r>
  <r>
    <s v="Agricultural Pest Management (AAPM) "/>
    <s v="AAPM"/>
    <x v="2"/>
    <n v="0"/>
    <n v="0"/>
    <n v="0"/>
    <n v="0"/>
    <n v="0"/>
    <n v="0"/>
  </r>
  <r>
    <s v="Agricultural Systems and Environment (AASE) "/>
    <s v="AASE"/>
    <x v="2"/>
    <n v="0"/>
    <n v="1"/>
    <n v="0"/>
    <n v="0"/>
    <n v="0"/>
    <n v="1"/>
  </r>
  <r>
    <s v="American Studies (LAMS) "/>
    <s v="LAMS"/>
    <x v="1"/>
    <n v="0"/>
    <n v="0"/>
    <n v="8"/>
    <n v="2"/>
    <n v="0"/>
    <n v="10"/>
  </r>
  <r>
    <s v="Animal Science (AANS) "/>
    <s v="AANS"/>
    <x v="2"/>
    <n v="0"/>
    <n v="1"/>
    <n v="4"/>
    <n v="0"/>
    <n v="0"/>
    <n v="5"/>
  </r>
  <r>
    <s v="Anthropology (LANP) "/>
    <s v="LANP"/>
    <x v="1"/>
    <n v="0"/>
    <n v="0"/>
    <n v="0"/>
    <n v="0"/>
    <n v="0"/>
    <n v="0"/>
  </r>
  <r>
    <s v="Anthropology (LANT) "/>
    <s v="LANT"/>
    <x v="1"/>
    <n v="0"/>
    <n v="6"/>
    <n v="13"/>
    <n v="2"/>
    <n v="0"/>
    <n v="21"/>
  </r>
  <r>
    <s v="Apiculture (AAPI) "/>
    <s v="AAPI"/>
    <x v="2"/>
    <n v="0"/>
    <n v="0"/>
    <n v="0"/>
    <n v="0"/>
    <n v="0"/>
    <n v="0"/>
  </r>
  <r>
    <s v="Applied Behavioral Science (AABS) "/>
    <s v="AABS"/>
    <x v="2"/>
    <n v="0"/>
    <n v="0"/>
    <n v="0"/>
    <n v="0"/>
    <n v="0"/>
    <n v="0"/>
  </r>
  <r>
    <s v="Applied Biol Systems and Tech (AABT) "/>
    <s v="AABT"/>
    <x v="2"/>
    <n v="0"/>
    <n v="0"/>
    <n v="0"/>
    <n v="0"/>
    <n v="0"/>
    <n v="0"/>
  </r>
  <r>
    <s v="Applied Computing and Information Systems (AACS) "/>
    <s v="AACS"/>
    <x v="2"/>
    <n v="0"/>
    <n v="0"/>
    <n v="3"/>
    <n v="1"/>
    <n v="0"/>
    <n v="4"/>
  </r>
  <r>
    <s v="Arab Studies (LARS) "/>
    <s v="LARS"/>
    <x v="1"/>
    <n v="0"/>
    <n v="0"/>
    <n v="0"/>
    <n v="0"/>
    <n v="0"/>
    <n v="0"/>
  </r>
  <r>
    <s v="Arabic (LARA) "/>
    <s v="LARA"/>
    <x v="1"/>
    <n v="0"/>
    <n v="0"/>
    <n v="6"/>
    <n v="0"/>
    <n v="0"/>
    <n v="6"/>
  </r>
  <r>
    <s v="Art History (LAHI) "/>
    <s v="LAHI"/>
    <x v="1"/>
    <n v="1"/>
    <n v="3"/>
    <n v="23"/>
    <n v="5"/>
    <n v="0"/>
    <n v="32"/>
  </r>
  <r>
    <s v="Art Studio (LASD) "/>
    <s v="LASD"/>
    <x v="1"/>
    <n v="0"/>
    <n v="1"/>
    <n v="16"/>
    <n v="0"/>
    <n v="0"/>
    <n v="17"/>
  </r>
  <r>
    <s v="Asian American Studies (LASA) "/>
    <s v="LASA"/>
    <x v="1"/>
    <n v="1"/>
    <n v="0"/>
    <n v="3"/>
    <n v="0"/>
    <n v="0"/>
    <n v="4"/>
  </r>
  <r>
    <s v="Asian American Studies (LASO) "/>
    <s v="LASO"/>
    <x v="1"/>
    <n v="0"/>
    <n v="0"/>
    <n v="0"/>
    <n v="0"/>
    <n v="0"/>
    <n v="0"/>
  </r>
  <r>
    <s v="Atmospheric Science (AATM) "/>
    <s v="AATM"/>
    <x v="2"/>
    <n v="0"/>
    <n v="0"/>
    <n v="0"/>
    <n v="0"/>
    <n v="0"/>
    <n v="0"/>
  </r>
  <r>
    <s v="Avian Sciences (AAVS) "/>
    <s v="AAVS"/>
    <x v="2"/>
    <n v="0"/>
    <n v="0"/>
    <n v="0"/>
    <n v="0"/>
    <n v="0"/>
    <n v="0"/>
  </r>
  <r>
    <s v="Biological Sciences (ABIS) "/>
    <s v="ABIS"/>
    <x v="2"/>
    <n v="0"/>
    <n v="0"/>
    <n v="0"/>
    <n v="0"/>
    <n v="0"/>
    <n v="0"/>
  </r>
  <r>
    <s v="Biological Sciences (BBIS) "/>
    <s v="BBIS"/>
    <x v="3"/>
    <n v="0"/>
    <n v="2"/>
    <n v="6"/>
    <n v="1"/>
    <n v="0"/>
    <n v="9"/>
  </r>
  <r>
    <s v="Biological Sciences (LBIS) "/>
    <s v="LBIS"/>
    <x v="1"/>
    <n v="0"/>
    <n v="0"/>
    <n v="0"/>
    <n v="0"/>
    <n v="0"/>
    <n v="0"/>
  </r>
  <r>
    <s v="Biomedical Engineering (EBIM) "/>
    <s v="EBIM"/>
    <x v="4"/>
    <n v="0"/>
    <n v="1"/>
    <n v="2"/>
    <n v="0"/>
    <n v="0"/>
    <n v="3"/>
  </r>
  <r>
    <s v="Botany (ABOT) "/>
    <s v="ABOT"/>
    <x v="2"/>
    <n v="0"/>
    <n v="0"/>
    <n v="0"/>
    <n v="0"/>
    <n v="0"/>
    <n v="0"/>
  </r>
  <r>
    <s v="Botany (LBOT) "/>
    <s v="LBOT"/>
    <x v="1"/>
    <n v="0"/>
    <n v="0"/>
    <n v="0"/>
    <n v="0"/>
    <n v="0"/>
    <n v="0"/>
  </r>
  <r>
    <s v="Chemistry (LCHE) "/>
    <s v="LCHE"/>
    <x v="1"/>
    <n v="0"/>
    <n v="1"/>
    <n v="2"/>
    <n v="2"/>
    <n v="0"/>
    <n v="5"/>
  </r>
  <r>
    <s v="Chicana/Chicano Studies (LCHI) "/>
    <s v="LCHI"/>
    <x v="1"/>
    <n v="0"/>
    <n v="2"/>
    <n v="51"/>
    <n v="13"/>
    <n v="0"/>
    <n v="66"/>
  </r>
  <r>
    <s v="Chicano (Mexican-American) Studies (LMXA) "/>
    <s v="LMXA"/>
    <x v="1"/>
    <n v="0"/>
    <n v="0"/>
    <n v="0"/>
    <n v="0"/>
    <n v="0"/>
    <n v="0"/>
  </r>
  <r>
    <s v="Chicano (Mexican-American) Studies (LMXH) "/>
    <s v="LMXH"/>
    <x v="1"/>
    <n v="0"/>
    <n v="0"/>
    <n v="0"/>
    <n v="0"/>
    <n v="0"/>
    <n v="0"/>
  </r>
  <r>
    <s v="Chinese (LCHN) "/>
    <s v="LCHN"/>
    <x v="1"/>
    <n v="0"/>
    <n v="5"/>
    <n v="17"/>
    <n v="4"/>
    <n v="0"/>
    <n v="26"/>
  </r>
  <r>
    <s v="Classical Civilization (LCLC) "/>
    <s v="LCLC"/>
    <x v="1"/>
    <n v="0"/>
    <n v="1"/>
    <n v="2"/>
    <n v="1"/>
    <n v="0"/>
    <n v="4"/>
  </r>
  <r>
    <s v="Climate Science and Policy (ACSP) "/>
    <s v="ACSP"/>
    <x v="2"/>
    <n v="0"/>
    <n v="0"/>
    <n v="3"/>
    <n v="0"/>
    <n v="0"/>
    <n v="3"/>
  </r>
  <r>
    <s v="Coaching Principles and Methods (LCPM) "/>
    <s v="LCPM"/>
    <x v="1"/>
    <n v="0"/>
    <n v="1"/>
    <n v="8"/>
    <n v="0"/>
    <n v="0"/>
    <n v="9"/>
  </r>
  <r>
    <s v="Communication (LCMN) "/>
    <s v="LCMN"/>
    <x v="1"/>
    <n v="1"/>
    <n v="11"/>
    <n v="88"/>
    <n v="24"/>
    <n v="0"/>
    <n v="124"/>
  </r>
  <r>
    <s v="Community Development (ACMD) "/>
    <s v="ACMD"/>
    <x v="2"/>
    <n v="0"/>
    <n v="1"/>
    <n v="12"/>
    <n v="2"/>
    <n v="0"/>
    <n v="15"/>
  </r>
  <r>
    <s v="Community Nutrition (ACMN) "/>
    <s v="ACMN"/>
    <x v="2"/>
    <n v="0"/>
    <n v="0"/>
    <n v="0"/>
    <n v="1"/>
    <n v="0"/>
    <n v="1"/>
  </r>
  <r>
    <s v="Comparative Literature (LCOM) "/>
    <s v="LCOM"/>
    <x v="1"/>
    <n v="0"/>
    <n v="0"/>
    <n v="5"/>
    <n v="2"/>
    <n v="0"/>
    <n v="7"/>
  </r>
  <r>
    <s v="Computational Applied Science (ECAS) "/>
    <s v="ECAS"/>
    <x v="4"/>
    <n v="0"/>
    <n v="0"/>
    <n v="0"/>
    <n v="0"/>
    <n v="0"/>
    <n v="0"/>
  </r>
  <r>
    <s v="Computational Biology (ECPB) "/>
    <s v="ECPB"/>
    <x v="4"/>
    <n v="0"/>
    <n v="0"/>
    <n v="2"/>
    <n v="0"/>
    <n v="0"/>
    <n v="2"/>
  </r>
  <r>
    <s v="Computer Science (ECSI) "/>
    <s v="ECSI"/>
    <x v="4"/>
    <n v="0"/>
    <n v="0"/>
    <n v="0"/>
    <n v="0"/>
    <n v="0"/>
    <n v="0"/>
  </r>
  <r>
    <s v="Computer Science (LCSI) "/>
    <s v="LCSI"/>
    <x v="1"/>
    <n v="1"/>
    <n v="5"/>
    <n v="44"/>
    <n v="11"/>
    <n v="0"/>
    <n v="61"/>
  </r>
  <r>
    <s v="Construction Engineering and Management (ECEM) "/>
    <s v="ECEM"/>
    <x v="4"/>
    <n v="0"/>
    <n v="0"/>
    <n v="12"/>
    <n v="0"/>
    <n v="0"/>
    <n v="12"/>
  </r>
  <r>
    <s v="Contemporary Leadership (ACLD) "/>
    <s v="ACLD"/>
    <x v="2"/>
    <n v="0"/>
    <n v="0"/>
    <n v="1"/>
    <n v="0"/>
    <n v="0"/>
    <n v="1"/>
  </r>
  <r>
    <s v="Data in Society (LDIS) "/>
    <s v="LDIS"/>
    <x v="1"/>
    <n v="0"/>
    <n v="0"/>
    <n v="0"/>
    <n v="0"/>
    <n v="0"/>
    <n v="0"/>
  </r>
  <r>
    <s v="Dramatic Art (LDRA) "/>
    <s v="LDRA"/>
    <x v="1"/>
    <n v="0"/>
    <n v="0"/>
    <n v="0"/>
    <n v="0"/>
    <n v="0"/>
    <n v="0"/>
  </r>
  <r>
    <s v="East Asian Studies (LEAS) "/>
    <s v="LEAS"/>
    <x v="1"/>
    <n v="0"/>
    <n v="1"/>
    <n v="4"/>
    <n v="0"/>
    <n v="0"/>
    <n v="5"/>
  </r>
  <r>
    <s v="Economics (LECN) "/>
    <s v="LECN"/>
    <x v="1"/>
    <n v="0"/>
    <n v="9"/>
    <n v="36"/>
    <n v="8"/>
    <n v="0"/>
    <n v="53"/>
  </r>
  <r>
    <s v="Economy, Justice, and Society (LEJS) "/>
    <s v="LEJS"/>
    <x v="1"/>
    <n v="0"/>
    <n v="0"/>
    <n v="0"/>
    <n v="0"/>
    <n v="0"/>
    <n v="0"/>
  </r>
  <r>
    <s v="Education (CEDU) "/>
    <s v="CEDU"/>
    <x v="0"/>
    <n v="3"/>
    <n v="22"/>
    <n v="178"/>
    <n v="28"/>
    <n v="0"/>
    <n v="231"/>
  </r>
  <r>
    <s v="Education (LEDU) "/>
    <s v="LEDU"/>
    <x v="1"/>
    <n v="0"/>
    <n v="0"/>
    <n v="0"/>
    <n v="0"/>
    <n v="0"/>
    <n v="0"/>
  </r>
  <r>
    <s v="Electrical Engineering (EEEL) "/>
    <s v="EEEL"/>
    <x v="4"/>
    <n v="0"/>
    <n v="0"/>
    <n v="2"/>
    <n v="0"/>
    <n v="0"/>
    <n v="2"/>
  </r>
  <r>
    <s v="Energy Efficiency (EEFY) "/>
    <s v="EEFY"/>
    <x v="4"/>
    <n v="0"/>
    <n v="0"/>
    <n v="0"/>
    <n v="0"/>
    <n v="0"/>
    <n v="0"/>
  </r>
  <r>
    <s v="Energy Policy (AEGP) "/>
    <s v="AEGP"/>
    <x v="2"/>
    <n v="0"/>
    <n v="0"/>
    <n v="0"/>
    <n v="0"/>
    <n v="0"/>
    <n v="0"/>
  </r>
  <r>
    <s v="Energy Policy (EENP) "/>
    <s v="EENP"/>
    <x v="4"/>
    <n v="0"/>
    <n v="0"/>
    <n v="0"/>
    <n v="0"/>
    <n v="0"/>
    <n v="0"/>
  </r>
  <r>
    <s v="Energy Science and Technology (EEST) "/>
    <s v="EEST"/>
    <x v="4"/>
    <n v="0"/>
    <n v="0"/>
    <n v="2"/>
    <n v="0"/>
    <n v="0"/>
    <n v="2"/>
  </r>
  <r>
    <s v="Engineering Geology (LEGL) "/>
    <s v="LEGL"/>
    <x v="1"/>
    <n v="0"/>
    <n v="0"/>
    <n v="0"/>
    <n v="0"/>
    <n v="0"/>
    <n v="0"/>
  </r>
  <r>
    <s v="English (LENL) "/>
    <s v="LENL"/>
    <x v="1"/>
    <n v="0"/>
    <n v="6"/>
    <n v="47"/>
    <n v="7"/>
    <n v="0"/>
    <n v="60"/>
  </r>
  <r>
    <s v="Entomology (AENT) "/>
    <s v="AENT"/>
    <x v="2"/>
    <n v="0"/>
    <n v="0"/>
    <n v="0"/>
    <n v="0"/>
    <n v="0"/>
    <n v="0"/>
  </r>
  <r>
    <s v="Environmental Biology and Management (AEBM) "/>
    <s v="AEBM"/>
    <x v="2"/>
    <n v="0"/>
    <n v="0"/>
    <n v="0"/>
    <n v="0"/>
    <n v="0"/>
    <n v="0"/>
  </r>
  <r>
    <s v="Environmental Geology (LEGO) "/>
    <s v="LEGO"/>
    <x v="1"/>
    <n v="0"/>
    <n v="0"/>
    <n v="0"/>
    <n v="0"/>
    <n v="0"/>
    <n v="0"/>
  </r>
  <r>
    <s v="Environmental Horticulture (AENH) "/>
    <s v="AENH"/>
    <x v="2"/>
    <n v="0"/>
    <n v="0"/>
    <n v="1"/>
    <n v="0"/>
    <n v="0"/>
    <n v="1"/>
  </r>
  <r>
    <s v="Environmental Policy Analysis (AEPA) "/>
    <s v="AEPA"/>
    <x v="2"/>
    <n v="0"/>
    <n v="0"/>
    <n v="0"/>
    <n v="0"/>
    <n v="0"/>
    <n v="0"/>
  </r>
  <r>
    <s v="Environmental Policy Analysis and Planning (AEPP) "/>
    <s v="AEPP"/>
    <x v="2"/>
    <n v="0"/>
    <n v="2"/>
    <n v="9"/>
    <n v="3"/>
    <n v="0"/>
    <n v="14"/>
  </r>
  <r>
    <s v="Environmental Toxicology (AETX) "/>
    <s v="AETX"/>
    <x v="2"/>
    <n v="0"/>
    <n v="0"/>
    <n v="5"/>
    <n v="2"/>
    <n v="0"/>
    <n v="7"/>
  </r>
  <r>
    <s v="Evolution, Ecology, and Biodiversity (BEEB) "/>
    <s v="BEEB"/>
    <x v="3"/>
    <n v="0"/>
    <n v="0"/>
    <n v="2"/>
    <n v="0"/>
    <n v="0"/>
    <n v="2"/>
  </r>
  <r>
    <s v="Exercise Biology (BEXB) "/>
    <s v="BEXB"/>
    <x v="3"/>
    <n v="0"/>
    <n v="1"/>
    <n v="4"/>
    <n v="2"/>
    <n v="0"/>
    <n v="7"/>
  </r>
  <r>
    <s v="Exercise Biology (LEXB) "/>
    <s v="LEXB"/>
    <x v="1"/>
    <n v="0"/>
    <n v="0"/>
    <n v="0"/>
    <n v="0"/>
    <n v="0"/>
    <n v="0"/>
  </r>
  <r>
    <s v="Exercise Science (LEXS) "/>
    <s v="LEXS"/>
    <x v="1"/>
    <n v="0"/>
    <n v="0"/>
    <n v="0"/>
    <n v="0"/>
    <n v="0"/>
    <n v="0"/>
  </r>
  <r>
    <s v="Expository Writing (LEXW) "/>
    <s v="LEXW"/>
    <x v="1"/>
    <n v="0"/>
    <n v="0"/>
    <n v="0"/>
    <n v="0"/>
    <n v="0"/>
    <n v="0"/>
  </r>
  <r>
    <s v="Fiber and Polymer Science (AFPS) "/>
    <s v="AFPS"/>
    <x v="2"/>
    <n v="0"/>
    <n v="0"/>
    <n v="0"/>
    <n v="0"/>
    <n v="0"/>
    <n v="0"/>
  </r>
  <r>
    <s v="Film Studies (LFMS) "/>
    <s v="LFMS"/>
    <x v="1"/>
    <n v="0"/>
    <n v="1"/>
    <n v="5"/>
    <n v="0"/>
    <n v="0"/>
    <n v="6"/>
  </r>
  <r>
    <s v="Food Service Management (AFSM) "/>
    <s v="AFSM"/>
    <x v="2"/>
    <n v="0"/>
    <n v="0"/>
    <n v="0"/>
    <n v="0"/>
    <n v="0"/>
    <n v="0"/>
  </r>
  <r>
    <s v="Forensic Entomology (AFEN) "/>
    <s v="AFEN"/>
    <x v="2"/>
    <n v="1"/>
    <n v="1"/>
    <n v="0"/>
    <n v="1"/>
    <n v="0"/>
    <n v="3"/>
  </r>
  <r>
    <s v="French (LFRE) "/>
    <s v="LFRE"/>
    <x v="1"/>
    <n v="0"/>
    <n v="1"/>
    <n v="11"/>
    <n v="3"/>
    <n v="0"/>
    <n v="15"/>
  </r>
  <r>
    <s v="Fungal Biology and Ecology (AFBE) "/>
    <s v="AFBE"/>
    <x v="2"/>
    <n v="0"/>
    <n v="0"/>
    <n v="1"/>
    <n v="0"/>
    <n v="0"/>
    <n v="1"/>
  </r>
  <r>
    <s v="Gender, Sexuality, and Women's Studies (LGSW) "/>
    <s v="LGSW"/>
    <x v="1"/>
    <n v="0"/>
    <n v="2"/>
    <n v="14"/>
    <n v="3"/>
    <n v="0"/>
    <n v="19"/>
  </r>
  <r>
    <s v="Geographic Information Systems (AGIS) "/>
    <s v="AGIS"/>
    <x v="2"/>
    <n v="0"/>
    <n v="3"/>
    <n v="16"/>
    <n v="1"/>
    <n v="0"/>
    <n v="20"/>
  </r>
  <r>
    <s v="Geographic Studies (AGES) "/>
    <s v="AGES"/>
    <x v="2"/>
    <n v="0"/>
    <n v="0"/>
    <n v="1"/>
    <n v="0"/>
    <n v="0"/>
    <n v="1"/>
  </r>
  <r>
    <s v="Geography (LGEG) "/>
    <s v="LGEG"/>
    <x v="1"/>
    <n v="0"/>
    <n v="0"/>
    <n v="0"/>
    <n v="0"/>
    <n v="0"/>
    <n v="0"/>
  </r>
  <r>
    <s v="Geography (LGEO) "/>
    <s v="LGEO"/>
    <x v="1"/>
    <n v="0"/>
    <n v="0"/>
    <n v="0"/>
    <n v="0"/>
    <n v="0"/>
    <n v="0"/>
  </r>
  <r>
    <s v="Geology (LGEL) "/>
    <s v="LGEL"/>
    <x v="1"/>
    <n v="0"/>
    <n v="0"/>
    <n v="2"/>
    <n v="0"/>
    <n v="0"/>
    <n v="2"/>
  </r>
  <r>
    <s v="Geophysics (LGPH) "/>
    <s v="LGPH"/>
    <x v="1"/>
    <n v="0"/>
    <n v="0"/>
    <n v="0"/>
    <n v="0"/>
    <n v="0"/>
    <n v="0"/>
  </r>
  <r>
    <s v="German (LGER) "/>
    <s v="LGER"/>
    <x v="1"/>
    <n v="0"/>
    <n v="0"/>
    <n v="3"/>
    <n v="0"/>
    <n v="0"/>
    <n v="3"/>
  </r>
  <r>
    <s v="Global and International Studies (LGIS) "/>
    <s v="LGIS"/>
    <x v="1"/>
    <n v="2"/>
    <n v="2"/>
    <n v="15"/>
    <n v="2"/>
    <n v="0"/>
    <n v="21"/>
  </r>
  <r>
    <s v="Global Disease Biology (AGDB) "/>
    <s v="AGDB"/>
    <x v="2"/>
    <n v="0"/>
    <n v="2"/>
    <n v="13"/>
    <n v="1"/>
    <n v="0"/>
    <n v="16"/>
  </r>
  <r>
    <s v="Global Studies (LGLO) "/>
    <s v="LGLO"/>
    <x v="1"/>
    <n v="0"/>
    <n v="0"/>
    <n v="0"/>
    <n v="0"/>
    <n v="0"/>
    <n v="0"/>
  </r>
  <r>
    <s v="Greek (LGRK) "/>
    <s v="LGRK"/>
    <x v="1"/>
    <n v="0"/>
    <n v="0"/>
    <n v="0"/>
    <n v="1"/>
    <n v="0"/>
    <n v="1"/>
  </r>
  <r>
    <s v="History (LHIS) "/>
    <s v="LHIS"/>
    <x v="1"/>
    <n v="0"/>
    <n v="9"/>
    <n v="56"/>
    <n v="8"/>
    <n v="0"/>
    <n v="73"/>
  </r>
  <r>
    <s v="History and Philosophy of Science (LHPS) "/>
    <s v="LHPS"/>
    <x v="1"/>
    <n v="0"/>
    <n v="0"/>
    <n v="0"/>
    <n v="0"/>
    <n v="0"/>
    <n v="0"/>
  </r>
  <r>
    <s v="Human Development (AHDE) "/>
    <s v="AHDE"/>
    <x v="2"/>
    <n v="0"/>
    <n v="3"/>
    <n v="53"/>
    <n v="14"/>
    <n v="0"/>
    <n v="70"/>
  </r>
  <r>
    <s v="Human Physiology (BHPY) "/>
    <s v="BHPY"/>
    <x v="3"/>
    <n v="0"/>
    <n v="1"/>
    <n v="5"/>
    <n v="1"/>
    <n v="0"/>
    <n v="7"/>
  </r>
  <r>
    <s v="Human Rights (LHMR) "/>
    <s v="LHMR"/>
    <x v="1"/>
    <n v="0"/>
    <n v="6"/>
    <n v="20"/>
    <n v="6"/>
    <n v="0"/>
    <n v="32"/>
  </r>
  <r>
    <s v="Hydrologic Science (AHYS) "/>
    <s v="AHYS"/>
    <x v="2"/>
    <n v="0"/>
    <n v="0"/>
    <n v="0"/>
    <n v="0"/>
    <n v="0"/>
    <n v="0"/>
  </r>
  <r>
    <s v="Hydrology (AHYD) "/>
    <s v="AHYD"/>
    <x v="2"/>
    <n v="0"/>
    <n v="0"/>
    <n v="0"/>
    <n v="0"/>
    <n v="0"/>
    <n v="0"/>
  </r>
  <r>
    <s v="India and South Asia Studies (LISA) "/>
    <s v="LISA"/>
    <x v="1"/>
    <n v="0"/>
    <n v="0"/>
    <n v="1"/>
    <n v="0"/>
    <n v="0"/>
    <n v="1"/>
  </r>
  <r>
    <s v="Insect Biology (AINB) "/>
    <s v="AINB"/>
    <x v="2"/>
    <n v="0"/>
    <n v="0"/>
    <n v="0"/>
    <n v="1"/>
    <n v="0"/>
    <n v="1"/>
  </r>
  <r>
    <s v="Insect Ecology (AISE) "/>
    <s v="AISE"/>
    <x v="2"/>
    <n v="0"/>
    <n v="0"/>
    <n v="0"/>
    <n v="0"/>
    <n v="0"/>
    <n v="0"/>
  </r>
  <r>
    <s v="Insect Ecology and Evolution (AIEE) "/>
    <s v="AIEE"/>
    <x v="2"/>
    <n v="0"/>
    <n v="0"/>
    <n v="0"/>
    <n v="0"/>
    <n v="0"/>
    <n v="0"/>
  </r>
  <r>
    <s v="International Agricultural Development (AIAD) "/>
    <s v="AIAD"/>
    <x v="2"/>
    <n v="0"/>
    <n v="0"/>
    <n v="0"/>
    <n v="1"/>
    <n v="0"/>
    <n v="1"/>
  </r>
  <r>
    <s v="International Science Studies (AISS) "/>
    <s v="AISS"/>
    <x v="2"/>
    <n v="0"/>
    <n v="0"/>
    <n v="0"/>
    <n v="0"/>
    <n v="0"/>
    <n v="0"/>
  </r>
  <r>
    <s v="Iran and Persian Studies (LIPS) "/>
    <s v="LIPS"/>
    <x v="1"/>
    <n v="0"/>
    <n v="0"/>
    <n v="0"/>
    <n v="0"/>
    <n v="0"/>
    <n v="0"/>
  </r>
  <r>
    <s v="Italian (LITA) "/>
    <s v="LITA"/>
    <x v="1"/>
    <n v="0"/>
    <n v="0"/>
    <n v="7"/>
    <n v="0"/>
    <n v="0"/>
    <n v="7"/>
  </r>
  <r>
    <s v="Japanese (LJPN) "/>
    <s v="LJPN"/>
    <x v="1"/>
    <n v="1"/>
    <n v="6"/>
    <n v="32"/>
    <n v="2"/>
    <n v="0"/>
    <n v="41"/>
  </r>
  <r>
    <s v="Jewish Studies (LJES) "/>
    <s v="LJES"/>
    <x v="1"/>
    <n v="0"/>
    <n v="0"/>
    <n v="2"/>
    <n v="0"/>
    <n v="0"/>
    <n v="2"/>
  </r>
  <r>
    <s v="Landscape Restoration (ALDR) "/>
    <s v="ALDR"/>
    <x v="2"/>
    <n v="0"/>
    <n v="0"/>
    <n v="3"/>
    <n v="0"/>
    <n v="0"/>
    <n v="3"/>
  </r>
  <r>
    <s v="Latin (LLAT) "/>
    <s v="LLAT"/>
    <x v="1"/>
    <n v="0"/>
    <n v="0"/>
    <n v="1"/>
    <n v="0"/>
    <n v="0"/>
    <n v="1"/>
  </r>
  <r>
    <s v="Latin American and Hemispheric Studies (LLAH) "/>
    <s v="LLAH"/>
    <x v="1"/>
    <n v="1"/>
    <n v="1"/>
    <n v="8"/>
    <n v="3"/>
    <n v="0"/>
    <n v="13"/>
  </r>
  <r>
    <s v="Linguistics (LLIN) "/>
    <s v="LLIN"/>
    <x v="1"/>
    <n v="0"/>
    <n v="3"/>
    <n v="12"/>
    <n v="5"/>
    <n v="0"/>
    <n v="20"/>
  </r>
  <r>
    <s v="Linguistics for Language Teachers (LLLT) "/>
    <s v="LLLT"/>
    <x v="1"/>
    <n v="0"/>
    <n v="0"/>
    <n v="0"/>
    <n v="0"/>
    <n v="0"/>
    <n v="0"/>
  </r>
  <r>
    <s v="Luso-Brazilian Studies (LLBS) "/>
    <s v="LLBS"/>
    <x v="1"/>
    <n v="0"/>
    <n v="0"/>
    <n v="2"/>
    <n v="1"/>
    <n v="0"/>
    <n v="3"/>
  </r>
  <r>
    <s v="Managerial Economics (AMGE) "/>
    <s v="AMGE"/>
    <x v="2"/>
    <n v="0"/>
    <n v="4"/>
    <n v="16"/>
    <n v="1"/>
    <n v="0"/>
    <n v="21"/>
  </r>
  <r>
    <s v="Materials Science (EMTS) "/>
    <s v="EMTS"/>
    <x v="4"/>
    <n v="0"/>
    <n v="0"/>
    <n v="2"/>
    <n v="0"/>
    <n v="0"/>
    <n v="2"/>
  </r>
  <r>
    <s v="Mathematics (LMAT) "/>
    <s v="LMAT"/>
    <x v="1"/>
    <n v="0"/>
    <n v="4"/>
    <n v="14"/>
    <n v="4"/>
    <n v="0"/>
    <n v="22"/>
  </r>
  <r>
    <s v="Medical Humanities (LMHU) "/>
    <s v="LMHU"/>
    <x v="1"/>
    <n v="0"/>
    <n v="0"/>
    <n v="0"/>
    <n v="0"/>
    <n v="0"/>
    <n v="0"/>
  </r>
  <r>
    <s v="Medical-Veterinary Entomology (AMVE) "/>
    <s v="AMVE"/>
    <x v="2"/>
    <n v="1"/>
    <n v="1"/>
    <n v="3"/>
    <n v="0"/>
    <n v="0"/>
    <n v="5"/>
  </r>
  <r>
    <s v="Medieval and Early Modern Studies (LMMS) "/>
    <s v="LMMS"/>
    <x v="1"/>
    <n v="0"/>
    <n v="0"/>
    <n v="1"/>
    <n v="0"/>
    <n v="0"/>
    <n v="1"/>
  </r>
  <r>
    <s v="Medieval Studies (LMST) "/>
    <s v="LMST"/>
    <x v="1"/>
    <n v="0"/>
    <n v="0"/>
    <n v="0"/>
    <n v="0"/>
    <n v="0"/>
    <n v="0"/>
  </r>
  <r>
    <s v="Middle East/South Asia Studies (LMSA) "/>
    <s v="LMSA"/>
    <x v="1"/>
    <n v="0"/>
    <n v="0"/>
    <n v="5"/>
    <n v="1"/>
    <n v="0"/>
    <n v="6"/>
  </r>
  <r>
    <s v="Museum Studies (LAHM) "/>
    <s v="LAHM"/>
    <x v="1"/>
    <n v="0"/>
    <n v="0"/>
    <n v="0"/>
    <n v="0"/>
    <n v="0"/>
    <n v="0"/>
  </r>
  <r>
    <s v="Music (LMUS) "/>
    <s v="LMUS"/>
    <x v="1"/>
    <n v="0"/>
    <n v="3"/>
    <n v="28"/>
    <n v="2"/>
    <n v="0"/>
    <n v="33"/>
  </r>
  <r>
    <s v="Native American Studies (LNAS) "/>
    <s v="LNAS"/>
    <x v="1"/>
    <n v="0"/>
    <n v="0"/>
    <n v="4"/>
    <n v="1"/>
    <n v="0"/>
    <n v="5"/>
  </r>
  <r>
    <s v="Nature and Culture (LNAC) "/>
    <s v="LNAC"/>
    <x v="1"/>
    <n v="0"/>
    <n v="0"/>
    <n v="0"/>
    <n v="0"/>
    <n v="0"/>
    <n v="0"/>
  </r>
  <r>
    <s v="Nematology (ANEM) "/>
    <s v="ANEM"/>
    <x v="2"/>
    <n v="0"/>
    <n v="0"/>
    <n v="0"/>
    <n v="0"/>
    <n v="0"/>
    <n v="0"/>
  </r>
  <r>
    <s v="Neuroscience (ANEU) "/>
    <s v="ANEU"/>
    <x v="2"/>
    <n v="0"/>
    <n v="0"/>
    <n v="0"/>
    <n v="0"/>
    <n v="0"/>
    <n v="0"/>
  </r>
  <r>
    <s v="Neuroscience (BNEU) "/>
    <s v="BNEU"/>
    <x v="3"/>
    <n v="0"/>
    <n v="0"/>
    <n v="5"/>
    <n v="0"/>
    <n v="0"/>
    <n v="5"/>
  </r>
  <r>
    <s v="Neuroscience (LNEU) "/>
    <s v="LNEU"/>
    <x v="1"/>
    <n v="0"/>
    <n v="0"/>
    <n v="0"/>
    <n v="0"/>
    <n v="0"/>
    <n v="0"/>
  </r>
  <r>
    <s v="Nutrition and Food (ANAF) "/>
    <s v="ANAF"/>
    <x v="2"/>
    <n v="0"/>
    <n v="0"/>
    <n v="0"/>
    <n v="0"/>
    <n v="0"/>
    <n v="0"/>
  </r>
  <r>
    <s v="Nutrition Science (ANSC) "/>
    <s v="ANSC"/>
    <x v="2"/>
    <n v="0"/>
    <n v="0"/>
    <n v="3"/>
    <n v="1"/>
    <n v="0"/>
    <n v="4"/>
  </r>
  <r>
    <s v="Oceanography (LOCN) "/>
    <s v="LOCN"/>
    <x v="1"/>
    <n v="0"/>
    <n v="0"/>
    <n v="0"/>
    <n v="1"/>
    <n v="0"/>
    <n v="1"/>
  </r>
  <r>
    <s v="Optical Science and Engineering (EOSE) "/>
    <s v="EOSE"/>
    <x v="4"/>
    <n v="0"/>
    <n v="0"/>
    <n v="0"/>
    <n v="0"/>
    <n v="0"/>
    <n v="0"/>
  </r>
  <r>
    <s v="Philosophy (LPHI) "/>
    <s v="LPHI"/>
    <x v="1"/>
    <n v="0"/>
    <n v="3"/>
    <n v="14"/>
    <n v="3"/>
    <n v="0"/>
    <n v="20"/>
  </r>
  <r>
    <s v="Physical Education (LPHE) "/>
    <s v="LPHE"/>
    <x v="1"/>
    <n v="0"/>
    <n v="0"/>
    <n v="0"/>
    <n v="0"/>
    <n v="0"/>
    <n v="0"/>
  </r>
  <r>
    <s v="Physics (LPHY) "/>
    <s v="LPHY"/>
    <x v="1"/>
    <n v="0"/>
    <n v="1"/>
    <n v="3"/>
    <n v="0"/>
    <n v="0"/>
    <n v="4"/>
  </r>
  <r>
    <s v="Physiology (APHS) "/>
    <s v="APHS"/>
    <x v="2"/>
    <n v="0"/>
    <n v="0"/>
    <n v="0"/>
    <n v="0"/>
    <n v="0"/>
    <n v="0"/>
  </r>
  <r>
    <s v="Physiology (LPHS) "/>
    <s v="LPHS"/>
    <x v="1"/>
    <n v="0"/>
    <n v="0"/>
    <n v="0"/>
    <n v="0"/>
    <n v="0"/>
    <n v="0"/>
  </r>
  <r>
    <s v="Plant Biology (APLB) "/>
    <s v="APLB"/>
    <x v="2"/>
    <n v="0"/>
    <n v="0"/>
    <n v="0"/>
    <n v="0"/>
    <n v="0"/>
    <n v="0"/>
  </r>
  <r>
    <s v="Plant Biology (BPLB) "/>
    <s v="BPLB"/>
    <x v="3"/>
    <n v="0"/>
    <n v="0"/>
    <n v="1"/>
    <n v="0"/>
    <n v="0"/>
    <n v="1"/>
  </r>
  <r>
    <s v="Plant Biology (LPLB) "/>
    <s v="LPLB"/>
    <x v="1"/>
    <n v="0"/>
    <n v="0"/>
    <n v="0"/>
    <n v="0"/>
    <n v="0"/>
    <n v="0"/>
  </r>
  <r>
    <s v="Political Science (LPOL) "/>
    <s v="LPOL"/>
    <x v="1"/>
    <n v="0"/>
    <n v="7"/>
    <n v="33"/>
    <n v="11"/>
    <n v="0"/>
    <n v="51"/>
  </r>
  <r>
    <s v="Precision Agriculture (APAG) "/>
    <s v="APAG"/>
    <x v="2"/>
    <n v="0"/>
    <n v="0"/>
    <n v="0"/>
    <n v="0"/>
    <n v="0"/>
    <n v="0"/>
  </r>
  <r>
    <s v="Professional Writing (LPWR) "/>
    <s v="LPWR"/>
    <x v="1"/>
    <n v="0"/>
    <n v="12"/>
    <n v="51"/>
    <n v="9"/>
    <n v="0"/>
    <n v="72"/>
  </r>
  <r>
    <s v="Psychology (LPSC) "/>
    <s v="LPSC"/>
    <x v="1"/>
    <n v="0"/>
    <n v="18"/>
    <n v="106"/>
    <n v="19"/>
    <n v="0"/>
    <n v="143"/>
  </r>
  <r>
    <s v="Public Health Sciences (CSPH) "/>
    <s v="CSPH"/>
    <x v="0"/>
    <n v="1"/>
    <n v="7"/>
    <n v="48"/>
    <n v="6"/>
    <n v="0"/>
    <n v="62"/>
  </r>
  <r>
    <s v="Quant Biol and Bioinformatics (AQBB) "/>
    <s v="AQBB"/>
    <x v="2"/>
    <n v="0"/>
    <n v="0"/>
    <n v="0"/>
    <n v="0"/>
    <n v="0"/>
    <n v="0"/>
  </r>
  <r>
    <s v="Quantitative Biology and Bioinformatics (BQBB) "/>
    <s v="BQBB"/>
    <x v="3"/>
    <n v="0"/>
    <n v="0"/>
    <n v="1"/>
    <n v="0"/>
    <n v="0"/>
    <n v="1"/>
  </r>
  <r>
    <s v="Quantitative Biology and Bioinformatics (LQBB) "/>
    <s v="LQBB"/>
    <x v="1"/>
    <n v="0"/>
    <n v="0"/>
    <n v="0"/>
    <n v="0"/>
    <n v="0"/>
    <n v="0"/>
  </r>
  <r>
    <s v="Recreation (AREC) "/>
    <s v="AREC"/>
    <x v="2"/>
    <n v="0"/>
    <n v="0"/>
    <n v="0"/>
    <n v="0"/>
    <n v="0"/>
    <n v="0"/>
  </r>
  <r>
    <s v="Religious Studies (LRST) "/>
    <s v="LRST"/>
    <x v="1"/>
    <n v="0"/>
    <n v="2"/>
    <n v="18"/>
    <n v="1"/>
    <n v="0"/>
    <n v="21"/>
  </r>
  <r>
    <s v="Retroactive Degree (RETR) "/>
    <s v="RETR"/>
    <x v="5"/>
    <n v="0"/>
    <n v="0"/>
    <n v="0"/>
    <n v="0"/>
    <n v="0"/>
    <n v="0"/>
  </r>
  <r>
    <s v="Rhetoric and Communication (LRCM) "/>
    <s v="LRCM"/>
    <x v="1"/>
    <n v="0"/>
    <n v="0"/>
    <n v="0"/>
    <n v="0"/>
    <n v="0"/>
    <n v="0"/>
  </r>
  <r>
    <s v="Russian (LRUS) "/>
    <s v="LRUS"/>
    <x v="1"/>
    <n v="0"/>
    <n v="1"/>
    <n v="0"/>
    <n v="0"/>
    <n v="0"/>
    <n v="1"/>
  </r>
  <r>
    <s v="Science and Society (ASAS) "/>
    <s v="ASAS"/>
    <x v="2"/>
    <n v="0"/>
    <n v="0"/>
    <n v="0"/>
    <n v="0"/>
    <n v="0"/>
    <n v="0"/>
  </r>
  <r>
    <s v="Sexuality Studies (LSXS) "/>
    <s v="LSXS"/>
    <x v="1"/>
    <n v="0"/>
    <n v="0"/>
    <n v="1"/>
    <n v="0"/>
    <n v="0"/>
    <n v="1"/>
  </r>
  <r>
    <s v="Social and Ethnic Relations (LSER) "/>
    <s v="LSER"/>
    <x v="1"/>
    <n v="0"/>
    <n v="0"/>
    <n v="2"/>
    <n v="0"/>
    <n v="0"/>
    <n v="2"/>
  </r>
  <r>
    <s v="Social, Ethnic, and Gender Relations (LSEG) "/>
    <s v="LSEG"/>
    <x v="1"/>
    <n v="0"/>
    <n v="0"/>
    <n v="0"/>
    <n v="0"/>
    <n v="0"/>
    <n v="0"/>
  </r>
  <r>
    <s v="Sociology (LSOC) "/>
    <s v="LSOC"/>
    <x v="1"/>
    <n v="0"/>
    <n v="8"/>
    <n v="34"/>
    <n v="6"/>
    <n v="0"/>
    <n v="48"/>
  </r>
  <r>
    <s v="Soil Science (ASSC) "/>
    <s v="ASSC"/>
    <x v="2"/>
    <n v="0"/>
    <n v="1"/>
    <n v="5"/>
    <n v="0"/>
    <n v="0"/>
    <n v="6"/>
  </r>
  <r>
    <s v="Spanish (LSPA) "/>
    <s v="LSPA"/>
    <x v="1"/>
    <n v="0"/>
    <n v="6"/>
    <n v="47"/>
    <n v="14"/>
    <n v="0"/>
    <n v="67"/>
  </r>
  <r>
    <s v="Statistics (LSTA) "/>
    <s v="LSTA"/>
    <x v="1"/>
    <n v="0"/>
    <n v="11"/>
    <n v="45"/>
    <n v="8"/>
    <n v="0"/>
    <n v="64"/>
  </r>
  <r>
    <s v="Sustainability in the Built Environment (ESBE) "/>
    <s v="ESBE"/>
    <x v="4"/>
    <n v="0"/>
    <n v="0"/>
    <n v="11"/>
    <n v="2"/>
    <n v="0"/>
    <n v="13"/>
  </r>
  <r>
    <s v="Technology Management (STMG) "/>
    <s v="STMG"/>
    <x v="6"/>
    <n v="0"/>
    <n v="16"/>
    <n v="126"/>
    <n v="32"/>
    <n v="0"/>
    <n v="174"/>
  </r>
  <r>
    <s v="Textiles and Clothing (ATXC) "/>
    <s v="ATXC"/>
    <x v="2"/>
    <n v="0"/>
    <n v="0"/>
    <n v="9"/>
    <n v="2"/>
    <n v="0"/>
    <n v="11"/>
  </r>
  <r>
    <s v="Theatre and Dance (LTAD) "/>
    <s v="LTAD"/>
    <x v="1"/>
    <n v="0"/>
    <n v="0"/>
    <n v="6"/>
    <n v="2"/>
    <n v="0"/>
    <n v="8"/>
  </r>
  <r>
    <s v="UNKNOWN (XXXX) "/>
    <s v="XXXX"/>
    <x v="7"/>
    <n v="0"/>
    <n v="0"/>
    <n v="0"/>
    <n v="0"/>
    <n v="0"/>
    <n v="0"/>
  </r>
  <r>
    <s v="War-Peace Studies (LWPS) "/>
    <s v="LWPS"/>
    <x v="1"/>
    <n v="0"/>
    <n v="0"/>
    <n v="0"/>
    <n v="0"/>
    <n v="0"/>
    <n v="0"/>
  </r>
  <r>
    <s v="Watershed Science (AWTS) "/>
    <s v="AWTS"/>
    <x v="2"/>
    <n v="0"/>
    <n v="1"/>
    <n v="1"/>
    <n v="0"/>
    <n v="0"/>
    <n v="2"/>
  </r>
  <r>
    <s v="Wildlife, Fish, and Conservation Biology (AWFC) "/>
    <s v="AWFC"/>
    <x v="2"/>
    <n v="0"/>
    <n v="1"/>
    <n v="9"/>
    <n v="1"/>
    <n v="0"/>
    <n v="11"/>
  </r>
  <r>
    <s v="Women's Studies (LWMS) "/>
    <s v="LWMS"/>
    <x v="1"/>
    <n v="0"/>
    <n v="0"/>
    <n v="0"/>
    <n v="0"/>
    <n v="0"/>
    <n v="0"/>
  </r>
  <r>
    <s v="Totals "/>
    <s v="otal"/>
    <x v="8"/>
    <n v="14"/>
    <n v="239"/>
    <n v="1649"/>
    <n v="313"/>
    <n v="0"/>
    <n v="221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10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9">
    <pivotField showAll="0"/>
    <pivotField showAll="0"/>
    <pivotField axis="axisRow" showAll="0">
      <items count="12">
        <item x="2"/>
        <item x="3"/>
        <item x="0"/>
        <item x="4"/>
        <item x="1"/>
        <item m="1" x="10"/>
        <item x="5"/>
        <item x="6"/>
        <item x="7"/>
        <item h="1" x="8"/>
        <item h="1" x="9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dataFields count="1">
    <dataField name="Sum of 22-23 Total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0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12" firstHeaderRow="1" firstDataRow="1" firstDataCol="1"/>
  <pivotFields count="9">
    <pivotField showAll="0"/>
    <pivotField showAll="0"/>
    <pivotField axis="axisRow" showAll="0">
      <items count="10">
        <item x="2"/>
        <item x="3"/>
        <item x="0"/>
        <item x="4"/>
        <item x="1"/>
        <item h="1" x="8"/>
        <item x="5"/>
        <item x="6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</pivotFields>
  <rowFields count="1">
    <field x="2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dataFields count="1">
    <dataField name="Sum of 18-19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B14" sqref="B14"/>
    </sheetView>
  </sheetViews>
  <sheetFormatPr defaultRowHeight="14.4" x14ac:dyDescent="0.3"/>
  <cols>
    <col min="1" max="1" width="12.5546875" bestFit="1" customWidth="1"/>
    <col min="2" max="2" width="16.88671875" bestFit="1" customWidth="1"/>
  </cols>
  <sheetData>
    <row r="3" spans="1:2" x14ac:dyDescent="0.3">
      <c r="A3" s="1" t="s">
        <v>363</v>
      </c>
      <c r="B3" t="s">
        <v>373</v>
      </c>
    </row>
    <row r="4" spans="1:2" x14ac:dyDescent="0.3">
      <c r="A4" s="2" t="s">
        <v>364</v>
      </c>
      <c r="B4" s="3">
        <v>269</v>
      </c>
    </row>
    <row r="5" spans="1:2" x14ac:dyDescent="0.3">
      <c r="A5" s="2" t="s">
        <v>365</v>
      </c>
      <c r="B5" s="3">
        <v>79</v>
      </c>
    </row>
    <row r="6" spans="1:2" x14ac:dyDescent="0.3">
      <c r="A6" s="2" t="s">
        <v>366</v>
      </c>
      <c r="B6" s="3">
        <v>680</v>
      </c>
    </row>
    <row r="7" spans="1:2" x14ac:dyDescent="0.3">
      <c r="A7" s="2" t="s">
        <v>367</v>
      </c>
      <c r="B7" s="3">
        <v>57</v>
      </c>
    </row>
    <row r="8" spans="1:2" x14ac:dyDescent="0.3">
      <c r="A8" s="2" t="s">
        <v>368</v>
      </c>
      <c r="B8" s="3">
        <v>1622</v>
      </c>
    </row>
    <row r="9" spans="1:2" x14ac:dyDescent="0.3">
      <c r="A9" s="2" t="s">
        <v>369</v>
      </c>
      <c r="B9" s="3">
        <v>0</v>
      </c>
    </row>
    <row r="10" spans="1:2" x14ac:dyDescent="0.3">
      <c r="A10" s="2" t="s">
        <v>370</v>
      </c>
      <c r="B10" s="3">
        <v>230</v>
      </c>
    </row>
    <row r="11" spans="1:2" x14ac:dyDescent="0.3">
      <c r="A11" s="2" t="s">
        <v>371</v>
      </c>
      <c r="B11" s="3">
        <v>0</v>
      </c>
    </row>
    <row r="12" spans="1:2" x14ac:dyDescent="0.3">
      <c r="A12" s="2" t="s">
        <v>372</v>
      </c>
      <c r="B12" s="3">
        <v>2937</v>
      </c>
    </row>
    <row r="14" spans="1:2" x14ac:dyDescent="0.3">
      <c r="A14" s="2" t="s">
        <v>368</v>
      </c>
      <c r="B14" s="4">
        <f>B8/B12</f>
        <v>0.55226421518556346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8"/>
  <sheetViews>
    <sheetView tabSelected="1" workbookViewId="0">
      <selection activeCell="N7" sqref="N7"/>
    </sheetView>
  </sheetViews>
  <sheetFormatPr defaultRowHeight="14.4" x14ac:dyDescent="0.3"/>
  <cols>
    <col min="1" max="1" width="45.44140625" customWidth="1"/>
    <col min="2" max="3" width="11.21875" customWidth="1"/>
    <col min="4" max="4" width="8.88671875" style="5"/>
    <col min="5" max="5" width="12.5546875" style="5" customWidth="1"/>
    <col min="6" max="6" width="11" style="5" customWidth="1"/>
    <col min="7" max="7" width="12.77734375" style="5" customWidth="1"/>
    <col min="8" max="8" width="10.88671875" style="5" customWidth="1"/>
    <col min="9" max="9" width="10.21875" style="5" customWidth="1"/>
  </cols>
  <sheetData>
    <row r="1" spans="1:9" x14ac:dyDescent="0.3">
      <c r="A1" t="s">
        <v>0</v>
      </c>
      <c r="B1" t="s">
        <v>361</v>
      </c>
      <c r="C1" t="s">
        <v>362</v>
      </c>
      <c r="D1" s="5" t="s">
        <v>1</v>
      </c>
      <c r="E1" s="5" t="s">
        <v>2</v>
      </c>
      <c r="F1" s="5" t="s">
        <v>3</v>
      </c>
      <c r="G1" s="5" t="s">
        <v>4</v>
      </c>
      <c r="H1" s="5" t="s">
        <v>5</v>
      </c>
      <c r="I1" s="5" t="s">
        <v>183</v>
      </c>
    </row>
    <row r="2" spans="1:9" x14ac:dyDescent="0.3">
      <c r="A2" t="s">
        <v>9</v>
      </c>
      <c r="B2" t="s">
        <v>187</v>
      </c>
      <c r="C2" t="str">
        <f t="shared" ref="C2:C33" si="0">LEFT(B2,1)</f>
        <v>A</v>
      </c>
      <c r="D2" s="5">
        <v>0</v>
      </c>
      <c r="E2" s="5">
        <v>0</v>
      </c>
      <c r="F2" s="5">
        <v>1</v>
      </c>
      <c r="G2" s="5">
        <v>1</v>
      </c>
      <c r="H2" s="5">
        <v>0</v>
      </c>
      <c r="I2" s="5">
        <v>2</v>
      </c>
    </row>
    <row r="3" spans="1:9" x14ac:dyDescent="0.3">
      <c r="A3" t="s">
        <v>22</v>
      </c>
      <c r="B3" t="s">
        <v>200</v>
      </c>
      <c r="C3" t="str">
        <f t="shared" si="0"/>
        <v>A</v>
      </c>
      <c r="D3" s="5">
        <v>0</v>
      </c>
      <c r="E3" s="5">
        <v>0</v>
      </c>
      <c r="F3" s="5">
        <v>0</v>
      </c>
      <c r="G3" s="5">
        <v>0</v>
      </c>
      <c r="H3" s="5">
        <v>0</v>
      </c>
      <c r="I3" s="5">
        <v>0</v>
      </c>
    </row>
    <row r="4" spans="1:9" x14ac:dyDescent="0.3">
      <c r="A4" t="s">
        <v>23</v>
      </c>
      <c r="B4" t="s">
        <v>201</v>
      </c>
      <c r="C4" t="str">
        <f t="shared" si="0"/>
        <v>A</v>
      </c>
      <c r="D4" s="5">
        <v>0</v>
      </c>
      <c r="E4" s="5">
        <v>0</v>
      </c>
      <c r="F4" s="5">
        <v>0</v>
      </c>
      <c r="G4" s="5">
        <v>0</v>
      </c>
      <c r="H4" s="5">
        <v>0</v>
      </c>
      <c r="I4" s="5">
        <v>0</v>
      </c>
    </row>
    <row r="5" spans="1:9" x14ac:dyDescent="0.3">
      <c r="A5" t="s">
        <v>10</v>
      </c>
      <c r="B5" t="s">
        <v>188</v>
      </c>
      <c r="C5" t="str">
        <f t="shared" si="0"/>
        <v>A</v>
      </c>
      <c r="D5" s="5">
        <v>0</v>
      </c>
      <c r="E5" s="5">
        <v>0</v>
      </c>
      <c r="F5" s="5">
        <v>0</v>
      </c>
      <c r="G5" s="5">
        <v>0</v>
      </c>
      <c r="H5" s="5">
        <v>0</v>
      </c>
      <c r="I5" s="5">
        <v>0</v>
      </c>
    </row>
    <row r="6" spans="1:9" x14ac:dyDescent="0.3">
      <c r="A6" t="s">
        <v>24</v>
      </c>
      <c r="B6" t="s">
        <v>202</v>
      </c>
      <c r="C6" t="str">
        <f t="shared" si="0"/>
        <v>A</v>
      </c>
      <c r="D6" s="5">
        <v>0</v>
      </c>
      <c r="E6" s="5">
        <v>0</v>
      </c>
      <c r="F6" s="5">
        <v>0</v>
      </c>
      <c r="G6" s="5">
        <v>0</v>
      </c>
      <c r="H6" s="5">
        <v>0</v>
      </c>
      <c r="I6" s="5">
        <v>0</v>
      </c>
    </row>
    <row r="7" spans="1:9" x14ac:dyDescent="0.3">
      <c r="A7" t="s">
        <v>14</v>
      </c>
      <c r="B7" t="s">
        <v>192</v>
      </c>
      <c r="C7" t="str">
        <f t="shared" si="0"/>
        <v>A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</row>
    <row r="8" spans="1:9" x14ac:dyDescent="0.3">
      <c r="A8" t="s">
        <v>12</v>
      </c>
      <c r="B8" t="s">
        <v>190</v>
      </c>
      <c r="C8" t="str">
        <f t="shared" si="0"/>
        <v>A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</row>
    <row r="9" spans="1:9" x14ac:dyDescent="0.3">
      <c r="A9" t="s">
        <v>18</v>
      </c>
      <c r="B9" t="s">
        <v>196</v>
      </c>
      <c r="C9" t="str">
        <f t="shared" si="0"/>
        <v>A</v>
      </c>
      <c r="D9" s="5">
        <v>0</v>
      </c>
      <c r="E9" s="5">
        <v>2</v>
      </c>
      <c r="F9" s="5">
        <v>6</v>
      </c>
      <c r="G9" s="5">
        <v>0</v>
      </c>
      <c r="H9" s="5">
        <v>0</v>
      </c>
      <c r="I9" s="5">
        <v>8</v>
      </c>
    </row>
    <row r="10" spans="1:9" x14ac:dyDescent="0.3">
      <c r="A10" t="s">
        <v>21</v>
      </c>
      <c r="B10" t="s">
        <v>199</v>
      </c>
      <c r="C10" t="str">
        <f t="shared" si="0"/>
        <v>A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</row>
    <row r="11" spans="1:9" x14ac:dyDescent="0.3">
      <c r="A11" t="s">
        <v>15</v>
      </c>
      <c r="B11" t="s">
        <v>193</v>
      </c>
      <c r="C11" t="str">
        <f t="shared" si="0"/>
        <v>A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</row>
    <row r="12" spans="1:9" x14ac:dyDescent="0.3">
      <c r="A12" t="s">
        <v>13</v>
      </c>
      <c r="B12" t="s">
        <v>191</v>
      </c>
      <c r="C12" t="str">
        <f t="shared" si="0"/>
        <v>A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</row>
    <row r="13" spans="1:9" x14ac:dyDescent="0.3">
      <c r="A13" t="s">
        <v>16</v>
      </c>
      <c r="B13" t="s">
        <v>194</v>
      </c>
      <c r="C13" t="str">
        <f t="shared" si="0"/>
        <v>A</v>
      </c>
      <c r="D13" s="5">
        <v>0</v>
      </c>
      <c r="E13" s="5">
        <v>1</v>
      </c>
      <c r="F13" s="5">
        <v>0</v>
      </c>
      <c r="G13" s="5">
        <v>0</v>
      </c>
      <c r="H13" s="5">
        <v>0</v>
      </c>
      <c r="I13" s="5">
        <v>1</v>
      </c>
    </row>
    <row r="14" spans="1:9" x14ac:dyDescent="0.3">
      <c r="A14" t="s">
        <v>31</v>
      </c>
      <c r="B14" t="s">
        <v>209</v>
      </c>
      <c r="C14" t="str">
        <f t="shared" si="0"/>
        <v>A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</row>
    <row r="15" spans="1:9" x14ac:dyDescent="0.3">
      <c r="A15" t="s">
        <v>32</v>
      </c>
      <c r="B15" t="s">
        <v>210</v>
      </c>
      <c r="C15" t="str">
        <f t="shared" si="0"/>
        <v>A</v>
      </c>
      <c r="D15" s="5">
        <v>1</v>
      </c>
      <c r="E15" s="5">
        <v>0</v>
      </c>
      <c r="F15" s="5">
        <v>1</v>
      </c>
      <c r="G15" s="5">
        <v>0</v>
      </c>
      <c r="H15" s="5">
        <v>0</v>
      </c>
      <c r="I15" s="5">
        <v>2</v>
      </c>
    </row>
    <row r="16" spans="1:9" x14ac:dyDescent="0.3">
      <c r="A16" t="s">
        <v>33</v>
      </c>
      <c r="B16" t="s">
        <v>211</v>
      </c>
      <c r="C16" t="str">
        <f t="shared" si="0"/>
        <v>A</v>
      </c>
      <c r="D16" s="5">
        <v>0</v>
      </c>
      <c r="E16" s="5">
        <v>0</v>
      </c>
      <c r="F16" s="5">
        <v>0</v>
      </c>
      <c r="G16" s="5">
        <v>0</v>
      </c>
      <c r="H16" s="5">
        <v>0</v>
      </c>
      <c r="I16" s="5">
        <v>0</v>
      </c>
    </row>
    <row r="17" spans="1:9" x14ac:dyDescent="0.3">
      <c r="A17" t="s">
        <v>37</v>
      </c>
      <c r="B17" t="s">
        <v>215</v>
      </c>
      <c r="C17" t="str">
        <f t="shared" si="0"/>
        <v>A</v>
      </c>
      <c r="D17" s="5">
        <v>0</v>
      </c>
      <c r="E17" s="5">
        <v>0</v>
      </c>
      <c r="F17" s="5">
        <v>0</v>
      </c>
      <c r="G17" s="5">
        <v>0</v>
      </c>
      <c r="H17" s="5">
        <v>0</v>
      </c>
      <c r="I17" s="5">
        <v>0</v>
      </c>
    </row>
    <row r="18" spans="1:9" x14ac:dyDescent="0.3">
      <c r="A18" t="s">
        <v>56</v>
      </c>
      <c r="B18" t="s">
        <v>234</v>
      </c>
      <c r="C18" t="str">
        <f t="shared" si="0"/>
        <v>A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0</v>
      </c>
    </row>
    <row r="19" spans="1:9" x14ac:dyDescent="0.3">
      <c r="A19" t="s">
        <v>48</v>
      </c>
      <c r="B19" t="s">
        <v>226</v>
      </c>
      <c r="C19" t="str">
        <f t="shared" si="0"/>
        <v>A</v>
      </c>
      <c r="D19" s="5">
        <v>0</v>
      </c>
      <c r="E19" s="5">
        <v>1</v>
      </c>
      <c r="F19" s="5">
        <v>13</v>
      </c>
      <c r="G19" s="5">
        <v>1</v>
      </c>
      <c r="H19" s="5">
        <v>0</v>
      </c>
      <c r="I19" s="5">
        <v>15</v>
      </c>
    </row>
    <row r="20" spans="1:9" x14ac:dyDescent="0.3">
      <c r="A20" t="s">
        <v>49</v>
      </c>
      <c r="B20" t="s">
        <v>227</v>
      </c>
      <c r="C20" t="str">
        <f t="shared" si="0"/>
        <v>A</v>
      </c>
      <c r="D20" s="5">
        <v>0</v>
      </c>
      <c r="E20" s="5">
        <v>0</v>
      </c>
      <c r="F20" s="5">
        <v>1</v>
      </c>
      <c r="G20" s="5">
        <v>0</v>
      </c>
      <c r="H20" s="5">
        <v>0</v>
      </c>
      <c r="I20" s="5">
        <v>1</v>
      </c>
    </row>
    <row r="21" spans="1:9" x14ac:dyDescent="0.3">
      <c r="A21" t="s">
        <v>45</v>
      </c>
      <c r="B21" t="s">
        <v>223</v>
      </c>
      <c r="C21" t="str">
        <f t="shared" si="0"/>
        <v>A</v>
      </c>
      <c r="D21" s="5">
        <v>3</v>
      </c>
      <c r="E21" s="5">
        <v>0</v>
      </c>
      <c r="F21" s="5">
        <v>5</v>
      </c>
      <c r="G21" s="5">
        <v>1</v>
      </c>
      <c r="H21" s="5">
        <v>0</v>
      </c>
      <c r="I21" s="5">
        <v>9</v>
      </c>
    </row>
    <row r="22" spans="1:9" x14ac:dyDescent="0.3">
      <c r="A22" t="s">
        <v>11</v>
      </c>
      <c r="B22" t="s">
        <v>189</v>
      </c>
      <c r="C22" t="str">
        <f t="shared" si="0"/>
        <v>A</v>
      </c>
      <c r="D22" s="5">
        <v>0</v>
      </c>
      <c r="E22" s="5">
        <v>0</v>
      </c>
      <c r="F22" s="5">
        <v>0</v>
      </c>
      <c r="G22" s="5">
        <v>0</v>
      </c>
      <c r="H22" s="5">
        <v>0</v>
      </c>
      <c r="I22" s="5">
        <v>0</v>
      </c>
    </row>
    <row r="23" spans="1:9" x14ac:dyDescent="0.3">
      <c r="A23" t="s">
        <v>72</v>
      </c>
      <c r="B23" t="s">
        <v>250</v>
      </c>
      <c r="C23" t="str">
        <f t="shared" si="0"/>
        <v>A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</row>
    <row r="24" spans="1:9" x14ac:dyDescent="0.3">
      <c r="A24" t="s">
        <v>66</v>
      </c>
      <c r="B24" t="s">
        <v>244</v>
      </c>
      <c r="C24" t="str">
        <f t="shared" si="0"/>
        <v>A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</row>
    <row r="25" spans="1:9" x14ac:dyDescent="0.3">
      <c r="A25" t="s">
        <v>74</v>
      </c>
      <c r="B25" t="s">
        <v>252</v>
      </c>
      <c r="C25" t="str">
        <f t="shared" si="0"/>
        <v>A</v>
      </c>
      <c r="D25" s="5">
        <v>1</v>
      </c>
      <c r="E25" s="5">
        <v>0</v>
      </c>
      <c r="F25" s="5">
        <v>4</v>
      </c>
      <c r="G25" s="5">
        <v>0</v>
      </c>
      <c r="H25" s="5">
        <v>0</v>
      </c>
      <c r="I25" s="5">
        <v>5</v>
      </c>
    </row>
    <row r="26" spans="1:9" x14ac:dyDescent="0.3">
      <c r="A26" t="s">
        <v>71</v>
      </c>
      <c r="B26" t="s">
        <v>249</v>
      </c>
      <c r="C26" t="str">
        <f t="shared" si="0"/>
        <v>A</v>
      </c>
      <c r="D26" s="5">
        <v>0</v>
      </c>
      <c r="E26" s="5">
        <v>0</v>
      </c>
      <c r="F26" s="5">
        <v>0</v>
      </c>
      <c r="G26" s="5">
        <v>0</v>
      </c>
      <c r="H26" s="5">
        <v>0</v>
      </c>
      <c r="I26" s="5">
        <v>0</v>
      </c>
    </row>
    <row r="27" spans="1:9" x14ac:dyDescent="0.3">
      <c r="A27" t="s">
        <v>75</v>
      </c>
      <c r="B27" t="s">
        <v>253</v>
      </c>
      <c r="C27" t="str">
        <f t="shared" si="0"/>
        <v>A</v>
      </c>
      <c r="D27" s="5">
        <v>0</v>
      </c>
      <c r="E27" s="5">
        <v>0</v>
      </c>
      <c r="F27" s="5">
        <v>0</v>
      </c>
      <c r="G27" s="5">
        <v>0</v>
      </c>
      <c r="H27" s="5">
        <v>0</v>
      </c>
      <c r="I27" s="5">
        <v>0</v>
      </c>
    </row>
    <row r="28" spans="1:9" x14ac:dyDescent="0.3">
      <c r="A28" t="s">
        <v>76</v>
      </c>
      <c r="B28" t="s">
        <v>254</v>
      </c>
      <c r="C28" t="str">
        <f t="shared" si="0"/>
        <v>A</v>
      </c>
      <c r="D28" s="5">
        <v>2</v>
      </c>
      <c r="E28" s="5">
        <v>3</v>
      </c>
      <c r="F28" s="5">
        <v>19</v>
      </c>
      <c r="G28" s="5">
        <v>1</v>
      </c>
      <c r="H28" s="5">
        <v>0</v>
      </c>
      <c r="I28" s="5">
        <v>25</v>
      </c>
    </row>
    <row r="29" spans="1:9" x14ac:dyDescent="0.3">
      <c r="A29" t="s">
        <v>77</v>
      </c>
      <c r="B29" t="s">
        <v>255</v>
      </c>
      <c r="C29" t="str">
        <f t="shared" si="0"/>
        <v>A</v>
      </c>
      <c r="D29" s="5">
        <v>0</v>
      </c>
      <c r="E29" s="5">
        <v>0</v>
      </c>
      <c r="F29" s="5">
        <v>3</v>
      </c>
      <c r="G29" s="5">
        <v>0</v>
      </c>
      <c r="H29" s="5">
        <v>0</v>
      </c>
      <c r="I29" s="5">
        <v>3</v>
      </c>
    </row>
    <row r="30" spans="1:9" x14ac:dyDescent="0.3">
      <c r="A30" t="s">
        <v>88</v>
      </c>
      <c r="B30" t="s">
        <v>266</v>
      </c>
      <c r="C30" t="str">
        <f t="shared" si="0"/>
        <v>A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</row>
    <row r="31" spans="1:9" x14ac:dyDescent="0.3">
      <c r="A31" t="s">
        <v>86</v>
      </c>
      <c r="B31" t="s">
        <v>264</v>
      </c>
      <c r="C31" t="str">
        <f t="shared" si="0"/>
        <v>A</v>
      </c>
      <c r="D31" s="5">
        <v>1</v>
      </c>
      <c r="E31" s="5">
        <v>1</v>
      </c>
      <c r="F31" s="5">
        <v>2</v>
      </c>
      <c r="G31" s="5">
        <v>1</v>
      </c>
      <c r="H31" s="5">
        <v>0</v>
      </c>
      <c r="I31" s="5">
        <v>5</v>
      </c>
    </row>
    <row r="32" spans="1:9" x14ac:dyDescent="0.3">
      <c r="A32" t="s">
        <v>83</v>
      </c>
      <c r="B32" t="s">
        <v>261</v>
      </c>
      <c r="C32" t="str">
        <f t="shared" si="0"/>
        <v>A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</row>
    <row r="33" spans="1:9" x14ac:dyDescent="0.3">
      <c r="A33" t="s">
        <v>85</v>
      </c>
      <c r="B33" t="s">
        <v>263</v>
      </c>
      <c r="C33" t="str">
        <f t="shared" si="0"/>
        <v>A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</row>
    <row r="34" spans="1:9" x14ac:dyDescent="0.3">
      <c r="A34" t="s">
        <v>98</v>
      </c>
      <c r="B34" t="s">
        <v>276</v>
      </c>
      <c r="C34" t="str">
        <f t="shared" ref="C34:C65" si="1">LEFT(B34,1)</f>
        <v>A</v>
      </c>
      <c r="D34" s="5">
        <v>2</v>
      </c>
      <c r="E34" s="5">
        <v>0</v>
      </c>
      <c r="F34" s="5">
        <v>21</v>
      </c>
      <c r="G34" s="5">
        <v>1</v>
      </c>
      <c r="H34" s="5">
        <v>0</v>
      </c>
      <c r="I34" s="5">
        <v>24</v>
      </c>
    </row>
    <row r="35" spans="1:9" x14ac:dyDescent="0.3">
      <c r="A35" t="s">
        <v>91</v>
      </c>
      <c r="B35" t="s">
        <v>269</v>
      </c>
      <c r="C35" t="str">
        <f t="shared" si="1"/>
        <v>A</v>
      </c>
      <c r="D35" s="5">
        <v>0</v>
      </c>
      <c r="E35" s="5">
        <v>0</v>
      </c>
      <c r="F35" s="5">
        <v>0</v>
      </c>
      <c r="G35" s="5">
        <v>0</v>
      </c>
      <c r="H35" s="5">
        <v>0</v>
      </c>
      <c r="I35" s="5">
        <v>0</v>
      </c>
    </row>
    <row r="36" spans="1:9" x14ac:dyDescent="0.3">
      <c r="A36" t="s">
        <v>90</v>
      </c>
      <c r="B36" t="s">
        <v>268</v>
      </c>
      <c r="C36" t="str">
        <f t="shared" si="1"/>
        <v>A</v>
      </c>
      <c r="D36" s="5">
        <v>0</v>
      </c>
      <c r="E36" s="5">
        <v>0</v>
      </c>
      <c r="F36" s="5">
        <v>4</v>
      </c>
      <c r="G36" s="5">
        <v>0</v>
      </c>
      <c r="H36" s="5">
        <v>0</v>
      </c>
      <c r="I36" s="5">
        <v>4</v>
      </c>
    </row>
    <row r="37" spans="1:9" x14ac:dyDescent="0.3">
      <c r="A37" t="s">
        <v>103</v>
      </c>
      <c r="B37" t="s">
        <v>281</v>
      </c>
      <c r="C37" t="str">
        <f t="shared" si="1"/>
        <v>A</v>
      </c>
      <c r="D37" s="5">
        <v>2</v>
      </c>
      <c r="E37" s="5">
        <v>15</v>
      </c>
      <c r="F37" s="5">
        <v>83</v>
      </c>
      <c r="G37" s="5">
        <v>10</v>
      </c>
      <c r="H37" s="5">
        <v>0</v>
      </c>
      <c r="I37" s="5">
        <v>110</v>
      </c>
    </row>
    <row r="38" spans="1:9" x14ac:dyDescent="0.3">
      <c r="A38" t="s">
        <v>107</v>
      </c>
      <c r="B38" t="s">
        <v>285</v>
      </c>
      <c r="C38" t="str">
        <f t="shared" si="1"/>
        <v>A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</row>
    <row r="39" spans="1:9" x14ac:dyDescent="0.3">
      <c r="A39" t="s">
        <v>106</v>
      </c>
      <c r="B39" t="s">
        <v>284</v>
      </c>
      <c r="C39" t="str">
        <f t="shared" si="1"/>
        <v>A</v>
      </c>
      <c r="D39" s="5">
        <v>0</v>
      </c>
      <c r="E39" s="5">
        <v>0</v>
      </c>
      <c r="F39" s="5">
        <v>0</v>
      </c>
      <c r="G39" s="5">
        <v>0</v>
      </c>
      <c r="H39" s="5">
        <v>0</v>
      </c>
      <c r="I39" s="5">
        <v>0</v>
      </c>
    </row>
    <row r="40" spans="1:9" x14ac:dyDescent="0.3">
      <c r="A40" t="s">
        <v>112</v>
      </c>
      <c r="B40" t="s">
        <v>290</v>
      </c>
      <c r="C40" t="str">
        <f t="shared" si="1"/>
        <v>A</v>
      </c>
      <c r="D40" s="5">
        <v>0</v>
      </c>
      <c r="E40" s="5">
        <v>0</v>
      </c>
      <c r="F40" s="5">
        <v>1</v>
      </c>
      <c r="G40" s="5">
        <v>0</v>
      </c>
      <c r="H40" s="5">
        <v>0</v>
      </c>
      <c r="I40" s="5">
        <v>1</v>
      </c>
    </row>
    <row r="41" spans="1:9" x14ac:dyDescent="0.3">
      <c r="A41" t="s">
        <v>111</v>
      </c>
      <c r="B41" t="s">
        <v>289</v>
      </c>
      <c r="C41" t="str">
        <f t="shared" si="1"/>
        <v>A</v>
      </c>
      <c r="D41" s="5">
        <v>0</v>
      </c>
      <c r="E41" s="5">
        <v>0</v>
      </c>
      <c r="F41" s="5">
        <v>0</v>
      </c>
      <c r="G41" s="5">
        <v>0</v>
      </c>
      <c r="H41" s="5">
        <v>0</v>
      </c>
      <c r="I41" s="5">
        <v>0</v>
      </c>
    </row>
    <row r="42" spans="1:9" x14ac:dyDescent="0.3">
      <c r="A42" t="s">
        <v>109</v>
      </c>
      <c r="B42" t="s">
        <v>287</v>
      </c>
      <c r="C42" t="str">
        <f t="shared" si="1"/>
        <v>A</v>
      </c>
      <c r="D42" s="5">
        <v>0</v>
      </c>
      <c r="E42" s="5">
        <v>0</v>
      </c>
      <c r="F42" s="5">
        <v>0</v>
      </c>
      <c r="G42" s="5">
        <v>0</v>
      </c>
      <c r="H42" s="5">
        <v>0</v>
      </c>
      <c r="I42" s="5">
        <v>0</v>
      </c>
    </row>
    <row r="43" spans="1:9" x14ac:dyDescent="0.3">
      <c r="A43" t="s">
        <v>110</v>
      </c>
      <c r="B43" t="s">
        <v>288</v>
      </c>
      <c r="C43" t="str">
        <f t="shared" si="1"/>
        <v>A</v>
      </c>
      <c r="D43" s="5">
        <v>0</v>
      </c>
      <c r="E43" s="5">
        <v>0</v>
      </c>
      <c r="F43" s="5">
        <v>0</v>
      </c>
      <c r="G43" s="5">
        <v>0</v>
      </c>
      <c r="H43" s="5">
        <v>0</v>
      </c>
      <c r="I43" s="5">
        <v>0</v>
      </c>
    </row>
    <row r="44" spans="1:9" x14ac:dyDescent="0.3">
      <c r="A44" t="s">
        <v>113</v>
      </c>
      <c r="B44" t="s">
        <v>291</v>
      </c>
      <c r="C44" t="str">
        <f t="shared" si="1"/>
        <v>A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</row>
    <row r="45" spans="1:9" x14ac:dyDescent="0.3">
      <c r="A45" t="s">
        <v>118</v>
      </c>
      <c r="B45" t="s">
        <v>296</v>
      </c>
      <c r="C45" t="str">
        <f t="shared" si="1"/>
        <v>A</v>
      </c>
      <c r="D45" s="5">
        <v>1</v>
      </c>
      <c r="E45" s="5">
        <v>0</v>
      </c>
      <c r="F45" s="5">
        <v>3</v>
      </c>
      <c r="G45" s="5">
        <v>1</v>
      </c>
      <c r="H45" s="5">
        <v>0</v>
      </c>
      <c r="I45" s="5">
        <v>5</v>
      </c>
    </row>
    <row r="46" spans="1:9" x14ac:dyDescent="0.3">
      <c r="A46" t="s">
        <v>124</v>
      </c>
      <c r="B46" t="s">
        <v>302</v>
      </c>
      <c r="C46" t="str">
        <f t="shared" si="1"/>
        <v>A</v>
      </c>
      <c r="D46" s="5">
        <v>1</v>
      </c>
      <c r="E46" s="5">
        <v>2</v>
      </c>
      <c r="F46" s="5">
        <v>14</v>
      </c>
      <c r="G46" s="5">
        <v>3</v>
      </c>
      <c r="H46" s="5">
        <v>0</v>
      </c>
      <c r="I46" s="5">
        <v>20</v>
      </c>
    </row>
    <row r="47" spans="1:9" x14ac:dyDescent="0.3">
      <c r="A47" t="s">
        <v>128</v>
      </c>
      <c r="B47" t="s">
        <v>306</v>
      </c>
      <c r="C47" t="str">
        <f t="shared" si="1"/>
        <v>A</v>
      </c>
      <c r="D47" s="5">
        <v>1</v>
      </c>
      <c r="E47" s="5">
        <v>1</v>
      </c>
      <c r="F47" s="5">
        <v>1</v>
      </c>
      <c r="G47" s="5">
        <v>0</v>
      </c>
      <c r="H47" s="5">
        <v>0</v>
      </c>
      <c r="I47" s="5">
        <v>3</v>
      </c>
    </row>
    <row r="48" spans="1:9" x14ac:dyDescent="0.3">
      <c r="A48" t="s">
        <v>140</v>
      </c>
      <c r="B48" t="s">
        <v>318</v>
      </c>
      <c r="C48" t="str">
        <f t="shared" si="1"/>
        <v>A</v>
      </c>
      <c r="D48" s="5">
        <v>0</v>
      </c>
      <c r="E48" s="5">
        <v>0</v>
      </c>
      <c r="F48" s="5">
        <v>2</v>
      </c>
      <c r="G48" s="5">
        <v>0</v>
      </c>
      <c r="H48" s="5">
        <v>0</v>
      </c>
      <c r="I48" s="5">
        <v>2</v>
      </c>
    </row>
    <row r="49" spans="1:9" x14ac:dyDescent="0.3">
      <c r="A49" t="s">
        <v>136</v>
      </c>
      <c r="B49" t="s">
        <v>314</v>
      </c>
      <c r="C49" t="str">
        <f t="shared" si="1"/>
        <v>A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</row>
    <row r="50" spans="1:9" x14ac:dyDescent="0.3">
      <c r="A50" t="s">
        <v>137</v>
      </c>
      <c r="B50" t="s">
        <v>315</v>
      </c>
      <c r="C50" t="str">
        <f t="shared" si="1"/>
        <v>A</v>
      </c>
      <c r="D50" s="5">
        <v>0</v>
      </c>
      <c r="E50" s="5">
        <v>0</v>
      </c>
      <c r="F50" s="5">
        <v>0</v>
      </c>
      <c r="G50" s="5">
        <v>0</v>
      </c>
      <c r="H50" s="5">
        <v>0</v>
      </c>
      <c r="I50" s="5">
        <v>0</v>
      </c>
    </row>
    <row r="51" spans="1:9" x14ac:dyDescent="0.3">
      <c r="A51" t="s">
        <v>141</v>
      </c>
      <c r="B51" t="s">
        <v>319</v>
      </c>
      <c r="C51" t="str">
        <f t="shared" si="1"/>
        <v>A</v>
      </c>
      <c r="D51" s="5">
        <v>0</v>
      </c>
      <c r="E51" s="5">
        <v>0</v>
      </c>
      <c r="F51" s="5">
        <v>3</v>
      </c>
      <c r="G51" s="5">
        <v>0</v>
      </c>
      <c r="H51" s="5">
        <v>0</v>
      </c>
      <c r="I51" s="5">
        <v>3</v>
      </c>
    </row>
    <row r="52" spans="1:9" x14ac:dyDescent="0.3">
      <c r="A52" t="s">
        <v>153</v>
      </c>
      <c r="B52" t="s">
        <v>331</v>
      </c>
      <c r="C52" t="str">
        <f t="shared" si="1"/>
        <v>A</v>
      </c>
      <c r="D52" s="5">
        <v>0</v>
      </c>
      <c r="E52" s="5">
        <v>0</v>
      </c>
      <c r="F52" s="5">
        <v>1</v>
      </c>
      <c r="G52" s="5">
        <v>0</v>
      </c>
      <c r="H52" s="5">
        <v>0</v>
      </c>
      <c r="I52" s="5">
        <v>1</v>
      </c>
    </row>
    <row r="53" spans="1:9" x14ac:dyDescent="0.3">
      <c r="A53" t="s">
        <v>147</v>
      </c>
      <c r="B53" t="s">
        <v>325</v>
      </c>
      <c r="C53" t="str">
        <f t="shared" si="1"/>
        <v>A</v>
      </c>
      <c r="D53" s="5">
        <v>0</v>
      </c>
      <c r="E53" s="5">
        <v>0</v>
      </c>
      <c r="F53" s="5">
        <v>0</v>
      </c>
      <c r="G53" s="5">
        <v>0</v>
      </c>
      <c r="H53" s="5">
        <v>0</v>
      </c>
      <c r="I53" s="5">
        <v>0</v>
      </c>
    </row>
    <row r="54" spans="1:9" x14ac:dyDescent="0.3">
      <c r="A54" t="s">
        <v>149</v>
      </c>
      <c r="B54" t="s">
        <v>327</v>
      </c>
      <c r="C54" t="str">
        <f t="shared" si="1"/>
        <v>A</v>
      </c>
      <c r="D54" s="5">
        <v>0</v>
      </c>
      <c r="E54" s="5">
        <v>0</v>
      </c>
      <c r="F54" s="5">
        <v>0</v>
      </c>
      <c r="G54" s="5">
        <v>0</v>
      </c>
      <c r="H54" s="5">
        <v>0</v>
      </c>
      <c r="I54" s="5">
        <v>0</v>
      </c>
    </row>
    <row r="55" spans="1:9" x14ac:dyDescent="0.3">
      <c r="A55" t="s">
        <v>157</v>
      </c>
      <c r="B55" t="s">
        <v>335</v>
      </c>
      <c r="C55" t="str">
        <f t="shared" si="1"/>
        <v>A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</row>
    <row r="56" spans="1:9" x14ac:dyDescent="0.3">
      <c r="A56" t="s">
        <v>160</v>
      </c>
      <c r="B56" t="s">
        <v>338</v>
      </c>
      <c r="C56" t="str">
        <f t="shared" si="1"/>
        <v>A</v>
      </c>
      <c r="D56" s="5">
        <v>0</v>
      </c>
      <c r="E56" s="5">
        <v>0</v>
      </c>
      <c r="F56" s="5">
        <v>0</v>
      </c>
      <c r="G56" s="5">
        <v>0</v>
      </c>
      <c r="H56" s="5">
        <v>0</v>
      </c>
      <c r="I56" s="5">
        <v>0</v>
      </c>
    </row>
    <row r="57" spans="1:9" x14ac:dyDescent="0.3">
      <c r="A57" t="s">
        <v>165</v>
      </c>
      <c r="B57" t="s">
        <v>343</v>
      </c>
      <c r="C57" t="str">
        <f t="shared" si="1"/>
        <v>A</v>
      </c>
      <c r="D57" s="5">
        <v>0</v>
      </c>
      <c r="E57" s="5">
        <v>0</v>
      </c>
      <c r="F57" s="5">
        <v>0</v>
      </c>
      <c r="G57" s="5">
        <v>0</v>
      </c>
      <c r="H57" s="5">
        <v>0</v>
      </c>
      <c r="I57" s="5">
        <v>0</v>
      </c>
    </row>
    <row r="58" spans="1:9" x14ac:dyDescent="0.3">
      <c r="A58" t="s">
        <v>170</v>
      </c>
      <c r="B58" t="s">
        <v>348</v>
      </c>
      <c r="C58" t="str">
        <f t="shared" si="1"/>
        <v>A</v>
      </c>
      <c r="D58" s="5">
        <v>0</v>
      </c>
      <c r="E58" s="5">
        <v>0</v>
      </c>
      <c r="F58" s="5">
        <v>0</v>
      </c>
      <c r="G58" s="5">
        <v>0</v>
      </c>
      <c r="H58" s="5">
        <v>0</v>
      </c>
      <c r="I58" s="5">
        <v>0</v>
      </c>
    </row>
    <row r="59" spans="1:9" x14ac:dyDescent="0.3">
      <c r="A59" t="s">
        <v>175</v>
      </c>
      <c r="B59" t="s">
        <v>353</v>
      </c>
      <c r="C59" t="str">
        <f t="shared" si="1"/>
        <v>A</v>
      </c>
      <c r="D59" s="5">
        <v>0</v>
      </c>
      <c r="E59" s="5">
        <v>0</v>
      </c>
      <c r="F59" s="5">
        <v>0</v>
      </c>
      <c r="G59" s="5">
        <v>0</v>
      </c>
      <c r="H59" s="5">
        <v>0</v>
      </c>
      <c r="I59" s="5">
        <v>0</v>
      </c>
    </row>
    <row r="60" spans="1:9" x14ac:dyDescent="0.3">
      <c r="A60" t="s">
        <v>180</v>
      </c>
      <c r="B60" t="s">
        <v>358</v>
      </c>
      <c r="C60" t="str">
        <f t="shared" si="1"/>
        <v>A</v>
      </c>
      <c r="D60" s="5">
        <v>1</v>
      </c>
      <c r="E60" s="5">
        <v>1</v>
      </c>
      <c r="F60" s="5">
        <v>12</v>
      </c>
      <c r="G60" s="5">
        <v>4</v>
      </c>
      <c r="H60" s="5">
        <v>0</v>
      </c>
      <c r="I60" s="5">
        <v>18</v>
      </c>
    </row>
    <row r="61" spans="1:9" x14ac:dyDescent="0.3">
      <c r="A61" t="s">
        <v>179</v>
      </c>
      <c r="B61" t="s">
        <v>357</v>
      </c>
      <c r="C61" t="str">
        <f t="shared" si="1"/>
        <v>A</v>
      </c>
      <c r="D61" s="5">
        <v>0</v>
      </c>
      <c r="E61" s="5">
        <v>1</v>
      </c>
      <c r="F61" s="5">
        <v>1</v>
      </c>
      <c r="G61" s="5">
        <v>0</v>
      </c>
      <c r="H61" s="5">
        <v>0</v>
      </c>
      <c r="I61" s="5">
        <v>2</v>
      </c>
    </row>
    <row r="62" spans="1:9" x14ac:dyDescent="0.3">
      <c r="A62" t="s">
        <v>34</v>
      </c>
      <c r="B62" t="s">
        <v>212</v>
      </c>
      <c r="C62" t="str">
        <f t="shared" si="1"/>
        <v>B</v>
      </c>
      <c r="D62" s="5">
        <v>0</v>
      </c>
      <c r="E62" s="5">
        <v>1</v>
      </c>
      <c r="F62" s="5">
        <v>9</v>
      </c>
      <c r="G62" s="5">
        <v>1</v>
      </c>
      <c r="H62" s="5">
        <v>0</v>
      </c>
      <c r="I62" s="5">
        <v>11</v>
      </c>
    </row>
    <row r="63" spans="1:9" x14ac:dyDescent="0.3">
      <c r="A63" t="s">
        <v>78</v>
      </c>
      <c r="B63" t="s">
        <v>256</v>
      </c>
      <c r="C63" t="str">
        <f t="shared" si="1"/>
        <v>B</v>
      </c>
      <c r="D63" s="5">
        <v>2</v>
      </c>
      <c r="E63" s="5">
        <v>0</v>
      </c>
      <c r="F63" s="5">
        <v>5</v>
      </c>
      <c r="G63" s="5">
        <v>1</v>
      </c>
      <c r="H63" s="5">
        <v>0</v>
      </c>
      <c r="I63" s="5">
        <v>8</v>
      </c>
    </row>
    <row r="64" spans="1:9" x14ac:dyDescent="0.3">
      <c r="A64" t="s">
        <v>79</v>
      </c>
      <c r="B64" t="s">
        <v>257</v>
      </c>
      <c r="C64" t="str">
        <f t="shared" si="1"/>
        <v>B</v>
      </c>
      <c r="D64" s="5">
        <v>0</v>
      </c>
      <c r="E64" s="5">
        <v>0</v>
      </c>
      <c r="F64" s="5">
        <v>3</v>
      </c>
      <c r="G64" s="5">
        <v>0</v>
      </c>
      <c r="H64" s="5">
        <v>0</v>
      </c>
      <c r="I64" s="5">
        <v>3</v>
      </c>
    </row>
    <row r="65" spans="1:9" x14ac:dyDescent="0.3">
      <c r="A65" t="s">
        <v>104</v>
      </c>
      <c r="B65" t="s">
        <v>282</v>
      </c>
      <c r="C65" t="str">
        <f t="shared" si="1"/>
        <v>B</v>
      </c>
      <c r="D65" s="5">
        <v>0</v>
      </c>
      <c r="E65" s="5">
        <v>1</v>
      </c>
      <c r="F65" s="5">
        <v>10</v>
      </c>
      <c r="G65" s="5">
        <v>1</v>
      </c>
      <c r="H65" s="5">
        <v>0</v>
      </c>
      <c r="I65" s="5">
        <v>12</v>
      </c>
    </row>
    <row r="66" spans="1:9" x14ac:dyDescent="0.3">
      <c r="A66" t="s">
        <v>138</v>
      </c>
      <c r="B66" t="s">
        <v>316</v>
      </c>
      <c r="C66" t="str">
        <f t="shared" ref="C66:C97" si="2">LEFT(B66,1)</f>
        <v>B</v>
      </c>
      <c r="D66" s="5">
        <v>5</v>
      </c>
      <c r="E66" s="5">
        <v>1</v>
      </c>
      <c r="F66" s="5">
        <v>20</v>
      </c>
      <c r="G66" s="5">
        <v>5</v>
      </c>
      <c r="H66" s="5">
        <v>0</v>
      </c>
      <c r="I66" s="5">
        <v>31</v>
      </c>
    </row>
    <row r="67" spans="1:9" x14ac:dyDescent="0.3">
      <c r="A67" t="s">
        <v>150</v>
      </c>
      <c r="B67" t="s">
        <v>328</v>
      </c>
      <c r="C67" t="str">
        <f t="shared" si="2"/>
        <v>B</v>
      </c>
      <c r="D67" s="5">
        <v>0</v>
      </c>
      <c r="E67" s="5">
        <v>1</v>
      </c>
      <c r="F67" s="5">
        <v>4</v>
      </c>
      <c r="G67" s="5">
        <v>0</v>
      </c>
      <c r="H67" s="5">
        <v>0</v>
      </c>
      <c r="I67" s="5">
        <v>5</v>
      </c>
    </row>
    <row r="68" spans="1:9" x14ac:dyDescent="0.3">
      <c r="A68" t="s">
        <v>158</v>
      </c>
      <c r="B68" t="s">
        <v>336</v>
      </c>
      <c r="C68" t="str">
        <f t="shared" si="2"/>
        <v>B</v>
      </c>
      <c r="D68" s="5">
        <v>1</v>
      </c>
      <c r="E68" s="5">
        <v>1</v>
      </c>
      <c r="F68" s="5">
        <v>7</v>
      </c>
      <c r="G68" s="5">
        <v>0</v>
      </c>
      <c r="H68" s="5">
        <v>0</v>
      </c>
      <c r="I68" s="5">
        <v>9</v>
      </c>
    </row>
    <row r="69" spans="1:9" x14ac:dyDescent="0.3">
      <c r="A69" t="s">
        <v>62</v>
      </c>
      <c r="B69" t="s">
        <v>240</v>
      </c>
      <c r="C69" t="str">
        <f t="shared" si="2"/>
        <v>C</v>
      </c>
      <c r="D69" s="5">
        <v>34</v>
      </c>
      <c r="E69" s="5">
        <v>30</v>
      </c>
      <c r="F69" s="5">
        <v>241</v>
      </c>
      <c r="G69" s="5">
        <v>27</v>
      </c>
      <c r="H69" s="5">
        <v>0</v>
      </c>
      <c r="I69" s="5">
        <v>332</v>
      </c>
    </row>
    <row r="70" spans="1:9" x14ac:dyDescent="0.3">
      <c r="A70" t="s">
        <v>6</v>
      </c>
      <c r="B70" t="s">
        <v>184</v>
      </c>
      <c r="C70" t="str">
        <f t="shared" si="2"/>
        <v>C</v>
      </c>
      <c r="D70" s="5">
        <v>7</v>
      </c>
      <c r="E70" s="5">
        <v>13</v>
      </c>
      <c r="F70" s="5">
        <v>91</v>
      </c>
      <c r="G70" s="5">
        <v>8</v>
      </c>
      <c r="H70" s="5">
        <v>0</v>
      </c>
      <c r="I70" s="5">
        <v>119</v>
      </c>
    </row>
    <row r="71" spans="1:9" x14ac:dyDescent="0.3">
      <c r="A71" t="s">
        <v>156</v>
      </c>
      <c r="B71" t="s">
        <v>334</v>
      </c>
      <c r="C71" t="str">
        <f t="shared" si="2"/>
        <v>C</v>
      </c>
      <c r="D71" s="5">
        <v>19</v>
      </c>
      <c r="E71" s="5">
        <v>25</v>
      </c>
      <c r="F71" s="5">
        <v>162</v>
      </c>
      <c r="G71" s="5">
        <v>23</v>
      </c>
      <c r="H71" s="5">
        <v>0</v>
      </c>
      <c r="I71" s="5">
        <v>229</v>
      </c>
    </row>
    <row r="72" spans="1:9" x14ac:dyDescent="0.3">
      <c r="A72" t="s">
        <v>36</v>
      </c>
      <c r="B72" t="s">
        <v>214</v>
      </c>
      <c r="C72" t="str">
        <f t="shared" si="2"/>
        <v>E</v>
      </c>
      <c r="D72" s="5">
        <v>0</v>
      </c>
      <c r="E72" s="5">
        <v>0</v>
      </c>
      <c r="F72" s="5">
        <v>1</v>
      </c>
      <c r="G72" s="5">
        <v>0</v>
      </c>
      <c r="H72" s="5">
        <v>0</v>
      </c>
      <c r="I72" s="5">
        <v>1</v>
      </c>
    </row>
    <row r="73" spans="1:9" x14ac:dyDescent="0.3">
      <c r="A73" t="s">
        <v>51</v>
      </c>
      <c r="B73" t="s">
        <v>229</v>
      </c>
      <c r="C73" t="str">
        <f t="shared" si="2"/>
        <v>E</v>
      </c>
      <c r="D73" s="5">
        <v>0</v>
      </c>
      <c r="E73" s="5">
        <v>0</v>
      </c>
      <c r="F73" s="5">
        <v>0</v>
      </c>
      <c r="G73" s="5">
        <v>0</v>
      </c>
      <c r="H73" s="5">
        <v>0</v>
      </c>
      <c r="I73" s="5">
        <v>0</v>
      </c>
    </row>
    <row r="74" spans="1:9" x14ac:dyDescent="0.3">
      <c r="A74" t="s">
        <v>55</v>
      </c>
      <c r="B74" t="s">
        <v>233</v>
      </c>
      <c r="C74" t="str">
        <f t="shared" si="2"/>
        <v>E</v>
      </c>
      <c r="D74" s="5">
        <v>0</v>
      </c>
      <c r="E74" s="5">
        <v>0</v>
      </c>
      <c r="F74" s="5">
        <v>15</v>
      </c>
      <c r="G74" s="5">
        <v>0</v>
      </c>
      <c r="H74" s="5">
        <v>0</v>
      </c>
      <c r="I74" s="5">
        <v>15</v>
      </c>
    </row>
    <row r="75" spans="1:9" x14ac:dyDescent="0.3">
      <c r="A75" t="s">
        <v>52</v>
      </c>
      <c r="B75" t="s">
        <v>230</v>
      </c>
      <c r="C75" t="str">
        <f t="shared" si="2"/>
        <v>E</v>
      </c>
      <c r="D75" s="5">
        <v>1</v>
      </c>
      <c r="E75" s="5">
        <v>0</v>
      </c>
      <c r="F75" s="5">
        <v>4</v>
      </c>
      <c r="G75" s="5">
        <v>1</v>
      </c>
      <c r="H75" s="5">
        <v>0</v>
      </c>
      <c r="I75" s="5">
        <v>6</v>
      </c>
    </row>
    <row r="76" spans="1:9" x14ac:dyDescent="0.3">
      <c r="A76" t="s">
        <v>53</v>
      </c>
      <c r="B76" t="s">
        <v>231</v>
      </c>
      <c r="C76" t="str">
        <f t="shared" si="2"/>
        <v>E</v>
      </c>
      <c r="D76" s="5">
        <v>0</v>
      </c>
      <c r="E76" s="5">
        <v>0</v>
      </c>
      <c r="F76" s="5">
        <v>0</v>
      </c>
      <c r="G76" s="5">
        <v>0</v>
      </c>
      <c r="H76" s="5">
        <v>0</v>
      </c>
      <c r="I76" s="5">
        <v>0</v>
      </c>
    </row>
    <row r="77" spans="1:9" x14ac:dyDescent="0.3">
      <c r="A77" t="s">
        <v>64</v>
      </c>
      <c r="B77" t="s">
        <v>242</v>
      </c>
      <c r="C77" t="str">
        <f t="shared" si="2"/>
        <v>E</v>
      </c>
      <c r="D77" s="5">
        <v>0</v>
      </c>
      <c r="E77" s="5">
        <v>1</v>
      </c>
      <c r="F77" s="5">
        <v>3</v>
      </c>
      <c r="G77" s="5">
        <v>0</v>
      </c>
      <c r="H77" s="5">
        <v>0</v>
      </c>
      <c r="I77" s="5">
        <v>4</v>
      </c>
    </row>
    <row r="78" spans="1:9" x14ac:dyDescent="0.3">
      <c r="A78" t="s">
        <v>65</v>
      </c>
      <c r="B78" t="s">
        <v>243</v>
      </c>
      <c r="C78" t="str">
        <f t="shared" si="2"/>
        <v>E</v>
      </c>
      <c r="D78" s="5">
        <v>0</v>
      </c>
      <c r="E78" s="5">
        <v>0</v>
      </c>
      <c r="F78" s="5">
        <v>0</v>
      </c>
      <c r="G78" s="5">
        <v>0</v>
      </c>
      <c r="H78" s="5">
        <v>0</v>
      </c>
      <c r="I78" s="5">
        <v>0</v>
      </c>
    </row>
    <row r="79" spans="1:9" x14ac:dyDescent="0.3">
      <c r="A79" t="s">
        <v>67</v>
      </c>
      <c r="B79" t="s">
        <v>245</v>
      </c>
      <c r="C79" t="str">
        <f t="shared" si="2"/>
        <v>E</v>
      </c>
      <c r="D79" s="5">
        <v>0</v>
      </c>
      <c r="E79" s="5">
        <v>0</v>
      </c>
      <c r="F79" s="5">
        <v>0</v>
      </c>
      <c r="G79" s="5">
        <v>0</v>
      </c>
      <c r="H79" s="5">
        <v>0</v>
      </c>
      <c r="I79" s="5">
        <v>0</v>
      </c>
    </row>
    <row r="80" spans="1:9" x14ac:dyDescent="0.3">
      <c r="A80" t="s">
        <v>68</v>
      </c>
      <c r="B80" t="s">
        <v>246</v>
      </c>
      <c r="C80" t="str">
        <f t="shared" si="2"/>
        <v>E</v>
      </c>
      <c r="D80" s="5">
        <v>0</v>
      </c>
      <c r="E80" s="5">
        <v>0</v>
      </c>
      <c r="F80" s="5">
        <v>0</v>
      </c>
      <c r="G80" s="5">
        <v>0</v>
      </c>
      <c r="H80" s="5">
        <v>0</v>
      </c>
      <c r="I80" s="5">
        <v>0</v>
      </c>
    </row>
    <row r="81" spans="1:9" x14ac:dyDescent="0.3">
      <c r="A81" t="s">
        <v>125</v>
      </c>
      <c r="B81" t="s">
        <v>303</v>
      </c>
      <c r="C81" t="str">
        <f t="shared" si="2"/>
        <v>E</v>
      </c>
      <c r="D81" s="5">
        <v>0</v>
      </c>
      <c r="E81" s="5">
        <v>0</v>
      </c>
      <c r="F81" s="5">
        <v>0</v>
      </c>
      <c r="G81" s="5">
        <v>1</v>
      </c>
      <c r="H81" s="5">
        <v>0</v>
      </c>
      <c r="I81" s="5">
        <v>1</v>
      </c>
    </row>
    <row r="82" spans="1:9" x14ac:dyDescent="0.3">
      <c r="A82" t="s">
        <v>143</v>
      </c>
      <c r="B82" t="s">
        <v>321</v>
      </c>
      <c r="C82" t="str">
        <f t="shared" si="2"/>
        <v>E</v>
      </c>
      <c r="D82" s="5">
        <v>0</v>
      </c>
      <c r="E82" s="5">
        <v>0</v>
      </c>
      <c r="F82" s="5">
        <v>0</v>
      </c>
      <c r="G82" s="5">
        <v>0</v>
      </c>
      <c r="H82" s="5">
        <v>0</v>
      </c>
      <c r="I82" s="5">
        <v>0</v>
      </c>
    </row>
    <row r="83" spans="1:9" x14ac:dyDescent="0.3">
      <c r="A83" t="s">
        <v>173</v>
      </c>
      <c r="B83" t="s">
        <v>351</v>
      </c>
      <c r="C83" t="str">
        <f t="shared" si="2"/>
        <v>E</v>
      </c>
      <c r="D83" s="5">
        <v>1</v>
      </c>
      <c r="E83" s="5">
        <v>2</v>
      </c>
      <c r="F83" s="5">
        <v>26</v>
      </c>
      <c r="G83" s="5">
        <v>1</v>
      </c>
      <c r="H83" s="5">
        <v>0</v>
      </c>
      <c r="I83" s="5">
        <v>30</v>
      </c>
    </row>
    <row r="84" spans="1:9" x14ac:dyDescent="0.3">
      <c r="A84" t="s">
        <v>7</v>
      </c>
      <c r="B84" t="s">
        <v>185</v>
      </c>
      <c r="C84" t="str">
        <f t="shared" si="2"/>
        <v>L</v>
      </c>
      <c r="D84" s="5">
        <v>2</v>
      </c>
      <c r="E84" s="5">
        <v>1</v>
      </c>
      <c r="F84" s="5">
        <v>6</v>
      </c>
      <c r="G84" s="5">
        <v>0</v>
      </c>
      <c r="H84" s="5">
        <v>0</v>
      </c>
      <c r="I84" s="5">
        <v>9</v>
      </c>
    </row>
    <row r="85" spans="1:9" x14ac:dyDescent="0.3">
      <c r="A85" t="s">
        <v>8</v>
      </c>
      <c r="B85" t="s">
        <v>186</v>
      </c>
      <c r="C85" t="str">
        <f t="shared" si="2"/>
        <v>L</v>
      </c>
      <c r="D85" s="5">
        <v>0</v>
      </c>
      <c r="E85" s="5">
        <v>0</v>
      </c>
      <c r="F85" s="5">
        <v>0</v>
      </c>
      <c r="G85" s="5">
        <v>0</v>
      </c>
      <c r="H85" s="5">
        <v>0</v>
      </c>
      <c r="I85" s="5">
        <v>0</v>
      </c>
    </row>
    <row r="86" spans="1:9" x14ac:dyDescent="0.3">
      <c r="A86" t="s">
        <v>27</v>
      </c>
      <c r="B86" t="s">
        <v>205</v>
      </c>
      <c r="C86" t="str">
        <f t="shared" si="2"/>
        <v>L</v>
      </c>
      <c r="D86" s="5">
        <v>5</v>
      </c>
      <c r="E86" s="5">
        <v>2</v>
      </c>
      <c r="F86" s="5">
        <v>19</v>
      </c>
      <c r="G86" s="5">
        <v>3</v>
      </c>
      <c r="H86" s="5">
        <v>0</v>
      </c>
      <c r="I86" s="5">
        <v>29</v>
      </c>
    </row>
    <row r="87" spans="1:9" x14ac:dyDescent="0.3">
      <c r="A87" t="s">
        <v>132</v>
      </c>
      <c r="B87" t="s">
        <v>310</v>
      </c>
      <c r="C87" t="str">
        <f t="shared" si="2"/>
        <v>L</v>
      </c>
      <c r="D87" s="5">
        <v>0</v>
      </c>
      <c r="E87" s="5">
        <v>1</v>
      </c>
      <c r="F87" s="5">
        <v>14</v>
      </c>
      <c r="G87" s="5">
        <v>0</v>
      </c>
      <c r="H87" s="5">
        <v>0</v>
      </c>
      <c r="I87" s="5">
        <v>15</v>
      </c>
    </row>
    <row r="88" spans="1:9" x14ac:dyDescent="0.3">
      <c r="A88" t="s">
        <v>17</v>
      </c>
      <c r="B88" t="s">
        <v>195</v>
      </c>
      <c r="C88" t="str">
        <f t="shared" si="2"/>
        <v>L</v>
      </c>
      <c r="D88" s="5">
        <v>1</v>
      </c>
      <c r="E88" s="5">
        <v>1</v>
      </c>
      <c r="F88" s="5">
        <v>4</v>
      </c>
      <c r="G88" s="5">
        <v>0</v>
      </c>
      <c r="H88" s="5">
        <v>0</v>
      </c>
      <c r="I88" s="5">
        <v>6</v>
      </c>
    </row>
    <row r="89" spans="1:9" x14ac:dyDescent="0.3">
      <c r="A89" t="s">
        <v>19</v>
      </c>
      <c r="B89" t="s">
        <v>197</v>
      </c>
      <c r="C89" t="str">
        <f t="shared" si="2"/>
        <v>L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</row>
    <row r="90" spans="1:9" x14ac:dyDescent="0.3">
      <c r="A90" t="s">
        <v>20</v>
      </c>
      <c r="B90" t="s">
        <v>198</v>
      </c>
      <c r="C90" t="str">
        <f t="shared" si="2"/>
        <v>L</v>
      </c>
      <c r="D90" s="5">
        <v>3</v>
      </c>
      <c r="E90" s="5">
        <v>8</v>
      </c>
      <c r="F90" s="5">
        <v>17</v>
      </c>
      <c r="G90" s="5">
        <v>3</v>
      </c>
      <c r="H90" s="5">
        <v>0</v>
      </c>
      <c r="I90" s="5">
        <v>31</v>
      </c>
    </row>
    <row r="91" spans="1:9" x14ac:dyDescent="0.3">
      <c r="A91" t="s">
        <v>26</v>
      </c>
      <c r="B91" t="s">
        <v>204</v>
      </c>
      <c r="C91" t="str">
        <f t="shared" si="2"/>
        <v>L</v>
      </c>
      <c r="D91" s="5">
        <v>1</v>
      </c>
      <c r="E91" s="5">
        <v>0</v>
      </c>
      <c r="F91" s="5">
        <v>0</v>
      </c>
      <c r="G91" s="5">
        <v>0</v>
      </c>
      <c r="H91" s="5">
        <v>0</v>
      </c>
      <c r="I91" s="5">
        <v>1</v>
      </c>
    </row>
    <row r="92" spans="1:9" x14ac:dyDescent="0.3">
      <c r="A92" t="s">
        <v>25</v>
      </c>
      <c r="B92" t="s">
        <v>203</v>
      </c>
      <c r="C92" t="str">
        <f t="shared" si="2"/>
        <v>L</v>
      </c>
      <c r="D92" s="5">
        <v>0</v>
      </c>
      <c r="E92" s="5">
        <v>0</v>
      </c>
      <c r="F92" s="5">
        <v>0</v>
      </c>
      <c r="G92" s="5">
        <v>1</v>
      </c>
      <c r="H92" s="5">
        <v>0</v>
      </c>
      <c r="I92" s="5">
        <v>1</v>
      </c>
    </row>
    <row r="93" spans="1:9" x14ac:dyDescent="0.3">
      <c r="A93" t="s">
        <v>29</v>
      </c>
      <c r="B93" t="s">
        <v>207</v>
      </c>
      <c r="C93" t="str">
        <f t="shared" si="2"/>
        <v>L</v>
      </c>
      <c r="D93" s="5">
        <v>1</v>
      </c>
      <c r="E93" s="5">
        <v>2</v>
      </c>
      <c r="F93" s="5">
        <v>16</v>
      </c>
      <c r="G93" s="5">
        <v>4</v>
      </c>
      <c r="H93" s="5">
        <v>0</v>
      </c>
      <c r="I93" s="5">
        <v>23</v>
      </c>
    </row>
    <row r="94" spans="1:9" x14ac:dyDescent="0.3">
      <c r="A94" t="s">
        <v>28</v>
      </c>
      <c r="B94" t="s">
        <v>206</v>
      </c>
      <c r="C94" t="str">
        <f t="shared" si="2"/>
        <v>L</v>
      </c>
      <c r="D94" s="5">
        <v>2</v>
      </c>
      <c r="E94" s="5">
        <v>1</v>
      </c>
      <c r="F94" s="5">
        <v>5</v>
      </c>
      <c r="G94" s="5">
        <v>2</v>
      </c>
      <c r="H94" s="5">
        <v>0</v>
      </c>
      <c r="I94" s="5">
        <v>10</v>
      </c>
    </row>
    <row r="95" spans="1:9" x14ac:dyDescent="0.3">
      <c r="A95" t="s">
        <v>30</v>
      </c>
      <c r="B95" t="s">
        <v>208</v>
      </c>
      <c r="C95" t="str">
        <f t="shared" si="2"/>
        <v>L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</row>
    <row r="96" spans="1:9" x14ac:dyDescent="0.3">
      <c r="A96" t="s">
        <v>35</v>
      </c>
      <c r="B96" t="s">
        <v>213</v>
      </c>
      <c r="C96" t="str">
        <f t="shared" si="2"/>
        <v>L</v>
      </c>
      <c r="D96" s="5">
        <v>0</v>
      </c>
      <c r="E96" s="5">
        <v>0</v>
      </c>
      <c r="F96" s="5">
        <v>0</v>
      </c>
      <c r="G96" s="5">
        <v>0</v>
      </c>
      <c r="H96" s="5">
        <v>0</v>
      </c>
      <c r="I96" s="5">
        <v>0</v>
      </c>
    </row>
    <row r="97" spans="1:9" x14ac:dyDescent="0.3">
      <c r="A97" t="s">
        <v>38</v>
      </c>
      <c r="B97" t="s">
        <v>216</v>
      </c>
      <c r="C97" t="str">
        <f t="shared" si="2"/>
        <v>L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</row>
    <row r="98" spans="1:9" x14ac:dyDescent="0.3">
      <c r="A98" t="s">
        <v>39</v>
      </c>
      <c r="B98" t="s">
        <v>217</v>
      </c>
      <c r="C98" t="str">
        <f t="shared" ref="C98:C129" si="3">LEFT(B98,1)</f>
        <v>L</v>
      </c>
      <c r="D98" s="5">
        <v>0</v>
      </c>
      <c r="E98" s="5">
        <v>1</v>
      </c>
      <c r="F98" s="5">
        <v>3</v>
      </c>
      <c r="G98" s="5">
        <v>0</v>
      </c>
      <c r="H98" s="5">
        <v>0</v>
      </c>
      <c r="I98" s="5">
        <v>4</v>
      </c>
    </row>
    <row r="99" spans="1:9" x14ac:dyDescent="0.3">
      <c r="A99" t="s">
        <v>40</v>
      </c>
      <c r="B99" t="s">
        <v>218</v>
      </c>
      <c r="C99" t="str">
        <f t="shared" si="3"/>
        <v>L</v>
      </c>
      <c r="D99" s="5">
        <v>6</v>
      </c>
      <c r="E99" s="5">
        <v>4</v>
      </c>
      <c r="F99" s="5">
        <v>94</v>
      </c>
      <c r="G99" s="5">
        <v>9</v>
      </c>
      <c r="H99" s="5">
        <v>0</v>
      </c>
      <c r="I99" s="5">
        <v>113</v>
      </c>
    </row>
    <row r="100" spans="1:9" x14ac:dyDescent="0.3">
      <c r="A100" t="s">
        <v>43</v>
      </c>
      <c r="B100" t="s">
        <v>221</v>
      </c>
      <c r="C100" t="str">
        <f t="shared" si="3"/>
        <v>L</v>
      </c>
      <c r="D100" s="5">
        <v>3</v>
      </c>
      <c r="E100" s="5">
        <v>1</v>
      </c>
      <c r="F100" s="5">
        <v>8</v>
      </c>
      <c r="G100" s="5">
        <v>0</v>
      </c>
      <c r="H100" s="5">
        <v>0</v>
      </c>
      <c r="I100" s="5">
        <v>12</v>
      </c>
    </row>
    <row r="101" spans="1:9" x14ac:dyDescent="0.3">
      <c r="A101" t="s">
        <v>44</v>
      </c>
      <c r="B101" t="s">
        <v>222</v>
      </c>
      <c r="C101" t="str">
        <f t="shared" si="3"/>
        <v>L</v>
      </c>
      <c r="D101" s="5">
        <v>1</v>
      </c>
      <c r="E101" s="5">
        <v>0</v>
      </c>
      <c r="F101" s="5">
        <v>4</v>
      </c>
      <c r="G101" s="5">
        <v>0</v>
      </c>
      <c r="H101" s="5">
        <v>0</v>
      </c>
      <c r="I101" s="5">
        <v>5</v>
      </c>
    </row>
    <row r="102" spans="1:9" x14ac:dyDescent="0.3">
      <c r="A102" t="s">
        <v>47</v>
      </c>
      <c r="B102" t="s">
        <v>225</v>
      </c>
      <c r="C102" t="str">
        <f t="shared" si="3"/>
        <v>L</v>
      </c>
      <c r="D102" s="5">
        <v>12</v>
      </c>
      <c r="E102" s="5">
        <v>18</v>
      </c>
      <c r="F102" s="5">
        <v>100</v>
      </c>
      <c r="G102" s="5">
        <v>20</v>
      </c>
      <c r="H102" s="5">
        <v>0</v>
      </c>
      <c r="I102" s="5">
        <v>150</v>
      </c>
    </row>
    <row r="103" spans="1:9" x14ac:dyDescent="0.3">
      <c r="A103" t="s">
        <v>50</v>
      </c>
      <c r="B103" t="s">
        <v>228</v>
      </c>
      <c r="C103" t="str">
        <f t="shared" si="3"/>
        <v>L</v>
      </c>
      <c r="D103" s="5">
        <v>0</v>
      </c>
      <c r="E103" s="5">
        <v>0</v>
      </c>
      <c r="F103" s="5">
        <v>6</v>
      </c>
      <c r="G103" s="5">
        <v>2</v>
      </c>
      <c r="H103" s="5">
        <v>0</v>
      </c>
      <c r="I103" s="5">
        <v>8</v>
      </c>
    </row>
    <row r="104" spans="1:9" x14ac:dyDescent="0.3">
      <c r="A104" t="s">
        <v>46</v>
      </c>
      <c r="B104" t="s">
        <v>224</v>
      </c>
      <c r="C104" t="str">
        <f t="shared" si="3"/>
        <v>L</v>
      </c>
      <c r="D104" s="5">
        <v>0</v>
      </c>
      <c r="E104" s="5">
        <v>0</v>
      </c>
      <c r="F104" s="5">
        <v>0</v>
      </c>
      <c r="G104" s="5">
        <v>0</v>
      </c>
      <c r="H104" s="5">
        <v>0</v>
      </c>
      <c r="I104" s="5">
        <v>0</v>
      </c>
    </row>
    <row r="105" spans="1:9" x14ac:dyDescent="0.3">
      <c r="A105" t="s">
        <v>54</v>
      </c>
      <c r="B105" t="s">
        <v>232</v>
      </c>
      <c r="C105" t="str">
        <f t="shared" si="3"/>
        <v>L</v>
      </c>
      <c r="D105" s="5">
        <v>12</v>
      </c>
      <c r="E105" s="5">
        <v>9</v>
      </c>
      <c r="F105" s="5">
        <v>32</v>
      </c>
      <c r="G105" s="5">
        <v>6</v>
      </c>
      <c r="H105" s="5">
        <v>0</v>
      </c>
      <c r="I105" s="5">
        <v>59</v>
      </c>
    </row>
    <row r="106" spans="1:9" x14ac:dyDescent="0.3">
      <c r="A106" t="s">
        <v>57</v>
      </c>
      <c r="B106" t="s">
        <v>235</v>
      </c>
      <c r="C106" t="str">
        <f t="shared" si="3"/>
        <v>L</v>
      </c>
      <c r="D106" s="5">
        <v>0</v>
      </c>
      <c r="E106" s="5">
        <v>0</v>
      </c>
      <c r="F106" s="5">
        <v>0</v>
      </c>
      <c r="G106" s="5">
        <v>0</v>
      </c>
      <c r="H106" s="5">
        <v>0</v>
      </c>
      <c r="I106" s="5">
        <v>0</v>
      </c>
    </row>
    <row r="107" spans="1:9" x14ac:dyDescent="0.3">
      <c r="A107" t="s">
        <v>58</v>
      </c>
      <c r="B107" t="s">
        <v>236</v>
      </c>
      <c r="C107" t="str">
        <f t="shared" si="3"/>
        <v>L</v>
      </c>
      <c r="D107" s="5">
        <v>0</v>
      </c>
      <c r="E107" s="5">
        <v>0</v>
      </c>
      <c r="F107" s="5">
        <v>0</v>
      </c>
      <c r="G107" s="5">
        <v>0</v>
      </c>
      <c r="H107" s="5">
        <v>0</v>
      </c>
      <c r="I107" s="5">
        <v>0</v>
      </c>
    </row>
    <row r="108" spans="1:9" x14ac:dyDescent="0.3">
      <c r="A108" t="s">
        <v>59</v>
      </c>
      <c r="B108" t="s">
        <v>237</v>
      </c>
      <c r="C108" t="str">
        <f t="shared" si="3"/>
        <v>L</v>
      </c>
      <c r="D108" s="5">
        <v>0</v>
      </c>
      <c r="E108" s="5">
        <v>0</v>
      </c>
      <c r="F108" s="5">
        <v>3</v>
      </c>
      <c r="G108" s="5">
        <v>1</v>
      </c>
      <c r="H108" s="5">
        <v>0</v>
      </c>
      <c r="I108" s="5">
        <v>4</v>
      </c>
    </row>
    <row r="109" spans="1:9" x14ac:dyDescent="0.3">
      <c r="A109" t="s">
        <v>60</v>
      </c>
      <c r="B109" t="s">
        <v>238</v>
      </c>
      <c r="C109" t="str">
        <f t="shared" si="3"/>
        <v>L</v>
      </c>
      <c r="D109" s="5">
        <v>19</v>
      </c>
      <c r="E109" s="5">
        <v>13</v>
      </c>
      <c r="F109" s="5">
        <v>48</v>
      </c>
      <c r="G109" s="5">
        <v>6</v>
      </c>
      <c r="H109" s="5">
        <v>0</v>
      </c>
      <c r="I109" s="5">
        <v>86</v>
      </c>
    </row>
    <row r="110" spans="1:9" x14ac:dyDescent="0.3">
      <c r="A110" t="s">
        <v>63</v>
      </c>
      <c r="B110" t="s">
        <v>241</v>
      </c>
      <c r="C110" t="str">
        <f t="shared" si="3"/>
        <v>L</v>
      </c>
      <c r="D110" s="5">
        <v>0</v>
      </c>
      <c r="E110" s="5">
        <v>0</v>
      </c>
      <c r="F110" s="5">
        <v>0</v>
      </c>
      <c r="G110" s="5">
        <v>0</v>
      </c>
      <c r="H110" s="5">
        <v>0</v>
      </c>
      <c r="I110" s="5">
        <v>0</v>
      </c>
    </row>
    <row r="111" spans="1:9" x14ac:dyDescent="0.3">
      <c r="A111" t="s">
        <v>69</v>
      </c>
      <c r="B111" t="s">
        <v>247</v>
      </c>
      <c r="C111" t="str">
        <f t="shared" si="3"/>
        <v>L</v>
      </c>
      <c r="D111" s="5">
        <v>0</v>
      </c>
      <c r="E111" s="5">
        <v>0</v>
      </c>
      <c r="F111" s="5">
        <v>0</v>
      </c>
      <c r="G111" s="5">
        <v>0</v>
      </c>
      <c r="H111" s="5">
        <v>0</v>
      </c>
      <c r="I111" s="5">
        <v>0</v>
      </c>
    </row>
    <row r="112" spans="1:9" x14ac:dyDescent="0.3">
      <c r="A112" t="s">
        <v>73</v>
      </c>
      <c r="B112" t="s">
        <v>251</v>
      </c>
      <c r="C112" t="str">
        <f t="shared" si="3"/>
        <v>L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</row>
    <row r="113" spans="1:9" x14ac:dyDescent="0.3">
      <c r="A113" t="s">
        <v>61</v>
      </c>
      <c r="B113" t="s">
        <v>239</v>
      </c>
      <c r="C113" t="str">
        <f t="shared" si="3"/>
        <v>L</v>
      </c>
      <c r="D113" s="5">
        <v>0</v>
      </c>
      <c r="E113" s="5">
        <v>0</v>
      </c>
      <c r="F113" s="5">
        <v>0</v>
      </c>
      <c r="G113" s="5">
        <v>0</v>
      </c>
      <c r="H113" s="5">
        <v>0</v>
      </c>
      <c r="I113" s="5">
        <v>0</v>
      </c>
    </row>
    <row r="114" spans="1:9" x14ac:dyDescent="0.3">
      <c r="A114" t="s">
        <v>70</v>
      </c>
      <c r="B114" t="s">
        <v>248</v>
      </c>
      <c r="C114" t="str">
        <f t="shared" si="3"/>
        <v>L</v>
      </c>
      <c r="D114" s="5">
        <v>5</v>
      </c>
      <c r="E114" s="5">
        <v>6</v>
      </c>
      <c r="F114" s="5">
        <v>36</v>
      </c>
      <c r="G114" s="5">
        <v>6</v>
      </c>
      <c r="H114" s="5">
        <v>0</v>
      </c>
      <c r="I114" s="5">
        <v>53</v>
      </c>
    </row>
    <row r="115" spans="1:9" x14ac:dyDescent="0.3">
      <c r="A115" t="s">
        <v>80</v>
      </c>
      <c r="B115" t="s">
        <v>258</v>
      </c>
      <c r="C115" t="str">
        <f t="shared" si="3"/>
        <v>L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</row>
    <row r="116" spans="1:9" x14ac:dyDescent="0.3">
      <c r="A116" t="s">
        <v>81</v>
      </c>
      <c r="B116" t="s">
        <v>259</v>
      </c>
      <c r="C116" t="str">
        <f t="shared" si="3"/>
        <v>L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</row>
    <row r="117" spans="1:9" x14ac:dyDescent="0.3">
      <c r="A117" t="s">
        <v>82</v>
      </c>
      <c r="B117" t="s">
        <v>260</v>
      </c>
      <c r="C117" t="str">
        <f t="shared" si="3"/>
        <v>L</v>
      </c>
      <c r="D117" s="5">
        <v>0</v>
      </c>
      <c r="E117" s="5">
        <v>0</v>
      </c>
      <c r="F117" s="5">
        <v>0</v>
      </c>
      <c r="G117" s="5">
        <v>0</v>
      </c>
      <c r="H117" s="5">
        <v>0</v>
      </c>
      <c r="I117" s="5">
        <v>0</v>
      </c>
    </row>
    <row r="118" spans="1:9" x14ac:dyDescent="0.3">
      <c r="A118" t="s">
        <v>84</v>
      </c>
      <c r="B118" t="s">
        <v>262</v>
      </c>
      <c r="C118" t="str">
        <f t="shared" si="3"/>
        <v>L</v>
      </c>
      <c r="D118" s="5">
        <v>0</v>
      </c>
      <c r="E118" s="5">
        <v>0</v>
      </c>
      <c r="F118" s="5">
        <v>8</v>
      </c>
      <c r="G118" s="5">
        <v>1</v>
      </c>
      <c r="H118" s="5">
        <v>0</v>
      </c>
      <c r="I118" s="5">
        <v>9</v>
      </c>
    </row>
    <row r="119" spans="1:9" x14ac:dyDescent="0.3">
      <c r="A119" t="s">
        <v>87</v>
      </c>
      <c r="B119" t="s">
        <v>265</v>
      </c>
      <c r="C119" t="str">
        <f t="shared" si="3"/>
        <v>L</v>
      </c>
      <c r="D119" s="5">
        <v>0</v>
      </c>
      <c r="E119" s="5">
        <v>1</v>
      </c>
      <c r="F119" s="5">
        <v>6</v>
      </c>
      <c r="G119" s="5">
        <v>0</v>
      </c>
      <c r="H119" s="5">
        <v>0</v>
      </c>
      <c r="I119" s="5">
        <v>7</v>
      </c>
    </row>
    <row r="120" spans="1:9" x14ac:dyDescent="0.3">
      <c r="A120" t="s">
        <v>92</v>
      </c>
      <c r="B120" t="s">
        <v>270</v>
      </c>
      <c r="C120" t="str">
        <f t="shared" si="3"/>
        <v>L</v>
      </c>
      <c r="D120" s="5">
        <v>0</v>
      </c>
      <c r="E120" s="5">
        <v>0</v>
      </c>
      <c r="F120" s="5">
        <v>0</v>
      </c>
      <c r="G120" s="5">
        <v>0</v>
      </c>
      <c r="H120" s="5">
        <v>0</v>
      </c>
      <c r="I120" s="5">
        <v>0</v>
      </c>
    </row>
    <row r="121" spans="1:9" x14ac:dyDescent="0.3">
      <c r="A121" t="s">
        <v>94</v>
      </c>
      <c r="B121" t="s">
        <v>272</v>
      </c>
      <c r="C121" t="str">
        <f t="shared" si="3"/>
        <v>L</v>
      </c>
      <c r="D121" s="5">
        <v>3</v>
      </c>
      <c r="E121" s="5">
        <v>0</v>
      </c>
      <c r="F121" s="5">
        <v>7</v>
      </c>
      <c r="G121" s="5">
        <v>1</v>
      </c>
      <c r="H121" s="5">
        <v>0</v>
      </c>
      <c r="I121" s="5">
        <v>11</v>
      </c>
    </row>
    <row r="122" spans="1:9" x14ac:dyDescent="0.3">
      <c r="A122" t="s">
        <v>93</v>
      </c>
      <c r="B122" t="s">
        <v>271</v>
      </c>
      <c r="C122" t="str">
        <f t="shared" si="3"/>
        <v>L</v>
      </c>
      <c r="D122" s="5">
        <v>0</v>
      </c>
      <c r="E122" s="5">
        <v>0</v>
      </c>
      <c r="F122" s="5">
        <v>0</v>
      </c>
      <c r="G122" s="5">
        <v>0</v>
      </c>
      <c r="H122" s="5">
        <v>0</v>
      </c>
      <c r="I122" s="5">
        <v>0</v>
      </c>
    </row>
    <row r="123" spans="1:9" x14ac:dyDescent="0.3">
      <c r="A123" t="s">
        <v>96</v>
      </c>
      <c r="B123" t="s">
        <v>274</v>
      </c>
      <c r="C123" t="str">
        <f t="shared" si="3"/>
        <v>L</v>
      </c>
      <c r="D123" s="5">
        <v>0</v>
      </c>
      <c r="E123" s="5">
        <v>0</v>
      </c>
      <c r="F123" s="5">
        <v>3</v>
      </c>
      <c r="G123" s="5">
        <v>1</v>
      </c>
      <c r="H123" s="5">
        <v>0</v>
      </c>
      <c r="I123" s="5">
        <v>4</v>
      </c>
    </row>
    <row r="124" spans="1:9" x14ac:dyDescent="0.3">
      <c r="A124" t="s">
        <v>97</v>
      </c>
      <c r="B124" t="s">
        <v>275</v>
      </c>
      <c r="C124" t="str">
        <f t="shared" si="3"/>
        <v>L</v>
      </c>
      <c r="D124" s="5">
        <v>0</v>
      </c>
      <c r="E124" s="5">
        <v>0</v>
      </c>
      <c r="F124" s="5">
        <v>1</v>
      </c>
      <c r="G124" s="5">
        <v>0</v>
      </c>
      <c r="H124" s="5">
        <v>0</v>
      </c>
      <c r="I124" s="5">
        <v>1</v>
      </c>
    </row>
    <row r="125" spans="1:9" x14ac:dyDescent="0.3">
      <c r="A125" t="s">
        <v>99</v>
      </c>
      <c r="B125" t="s">
        <v>277</v>
      </c>
      <c r="C125" t="str">
        <f t="shared" si="3"/>
        <v>L</v>
      </c>
      <c r="D125" s="5">
        <v>3</v>
      </c>
      <c r="E125" s="5">
        <v>2</v>
      </c>
      <c r="F125" s="5">
        <v>6</v>
      </c>
      <c r="G125" s="5">
        <v>1</v>
      </c>
      <c r="H125" s="5">
        <v>0</v>
      </c>
      <c r="I125" s="5">
        <v>12</v>
      </c>
    </row>
    <row r="126" spans="1:9" x14ac:dyDescent="0.3">
      <c r="A126" t="s">
        <v>95</v>
      </c>
      <c r="B126" t="s">
        <v>273</v>
      </c>
      <c r="C126" t="str">
        <f t="shared" si="3"/>
        <v>L</v>
      </c>
      <c r="D126" s="5">
        <v>0</v>
      </c>
      <c r="E126" s="5">
        <v>0</v>
      </c>
      <c r="F126" s="5">
        <v>0</v>
      </c>
      <c r="G126" s="5">
        <v>0</v>
      </c>
      <c r="H126" s="5">
        <v>0</v>
      </c>
      <c r="I126" s="5">
        <v>0</v>
      </c>
    </row>
    <row r="127" spans="1:9" x14ac:dyDescent="0.3">
      <c r="A127" t="s">
        <v>100</v>
      </c>
      <c r="B127" t="s">
        <v>278</v>
      </c>
      <c r="C127" t="str">
        <f t="shared" si="3"/>
        <v>L</v>
      </c>
      <c r="D127" s="5">
        <v>0</v>
      </c>
      <c r="E127" s="5">
        <v>0</v>
      </c>
      <c r="F127" s="5">
        <v>0</v>
      </c>
      <c r="G127" s="5">
        <v>0</v>
      </c>
      <c r="H127" s="5">
        <v>0</v>
      </c>
      <c r="I127" s="5">
        <v>0</v>
      </c>
    </row>
    <row r="128" spans="1:9" x14ac:dyDescent="0.3">
      <c r="A128" t="s">
        <v>89</v>
      </c>
      <c r="B128" t="s">
        <v>267</v>
      </c>
      <c r="C128" t="str">
        <f t="shared" si="3"/>
        <v>L</v>
      </c>
      <c r="D128" s="5">
        <v>0</v>
      </c>
      <c r="E128" s="5">
        <v>2</v>
      </c>
      <c r="F128" s="5">
        <v>11</v>
      </c>
      <c r="G128" s="5">
        <v>1</v>
      </c>
      <c r="H128" s="5">
        <v>0</v>
      </c>
      <c r="I128" s="5">
        <v>14</v>
      </c>
    </row>
    <row r="129" spans="1:9" x14ac:dyDescent="0.3">
      <c r="A129" t="s">
        <v>101</v>
      </c>
      <c r="B129" t="s">
        <v>279</v>
      </c>
      <c r="C129" t="str">
        <f t="shared" si="3"/>
        <v>L</v>
      </c>
      <c r="D129" s="5">
        <v>5</v>
      </c>
      <c r="E129" s="5">
        <v>10</v>
      </c>
      <c r="F129" s="5">
        <v>40</v>
      </c>
      <c r="G129" s="5">
        <v>7</v>
      </c>
      <c r="H129" s="5">
        <v>0</v>
      </c>
      <c r="I129" s="5">
        <v>62</v>
      </c>
    </row>
    <row r="130" spans="1:9" x14ac:dyDescent="0.3">
      <c r="A130" t="s">
        <v>105</v>
      </c>
      <c r="B130" t="s">
        <v>283</v>
      </c>
      <c r="C130" t="str">
        <f t="shared" ref="C130:C161" si="4">LEFT(B130,1)</f>
        <v>L</v>
      </c>
      <c r="D130" s="5">
        <v>8</v>
      </c>
      <c r="E130" s="5">
        <v>9</v>
      </c>
      <c r="F130" s="5">
        <v>58</v>
      </c>
      <c r="G130" s="5">
        <v>4</v>
      </c>
      <c r="H130" s="5">
        <v>0</v>
      </c>
      <c r="I130" s="5">
        <v>79</v>
      </c>
    </row>
    <row r="131" spans="1:9" x14ac:dyDescent="0.3">
      <c r="A131" t="s">
        <v>102</v>
      </c>
      <c r="B131" t="s">
        <v>280</v>
      </c>
      <c r="C131" t="str">
        <f t="shared" si="4"/>
        <v>L</v>
      </c>
      <c r="D131" s="5">
        <v>0</v>
      </c>
      <c r="E131" s="5">
        <v>0</v>
      </c>
      <c r="F131" s="5">
        <v>0</v>
      </c>
      <c r="G131" s="5">
        <v>0</v>
      </c>
      <c r="H131" s="5">
        <v>0</v>
      </c>
      <c r="I131" s="5">
        <v>0</v>
      </c>
    </row>
    <row r="132" spans="1:9" x14ac:dyDescent="0.3">
      <c r="A132" t="s">
        <v>114</v>
      </c>
      <c r="B132" t="s">
        <v>292</v>
      </c>
      <c r="C132" t="str">
        <f t="shared" si="4"/>
        <v>L</v>
      </c>
      <c r="D132" s="5">
        <v>0</v>
      </c>
      <c r="E132" s="5">
        <v>0</v>
      </c>
      <c r="F132" s="5">
        <v>0</v>
      </c>
      <c r="G132" s="5">
        <v>0</v>
      </c>
      <c r="H132" s="5">
        <v>0</v>
      </c>
      <c r="I132" s="5">
        <v>0</v>
      </c>
    </row>
    <row r="133" spans="1:9" x14ac:dyDescent="0.3">
      <c r="A133" t="s">
        <v>108</v>
      </c>
      <c r="B133" t="s">
        <v>286</v>
      </c>
      <c r="C133" t="str">
        <f t="shared" si="4"/>
        <v>L</v>
      </c>
      <c r="D133" s="5">
        <v>0</v>
      </c>
      <c r="E133" s="5">
        <v>0</v>
      </c>
      <c r="F133" s="5">
        <v>1</v>
      </c>
      <c r="G133" s="5">
        <v>0</v>
      </c>
      <c r="H133" s="5">
        <v>0</v>
      </c>
      <c r="I133" s="5">
        <v>1</v>
      </c>
    </row>
    <row r="134" spans="1:9" x14ac:dyDescent="0.3">
      <c r="A134" t="s">
        <v>115</v>
      </c>
      <c r="B134" t="s">
        <v>293</v>
      </c>
      <c r="C134" t="str">
        <f t="shared" si="4"/>
        <v>L</v>
      </c>
      <c r="D134" s="5">
        <v>0</v>
      </c>
      <c r="E134" s="5">
        <v>0</v>
      </c>
      <c r="F134" s="5">
        <v>0</v>
      </c>
      <c r="G134" s="5">
        <v>0</v>
      </c>
      <c r="H134" s="5">
        <v>0</v>
      </c>
      <c r="I134" s="5">
        <v>0</v>
      </c>
    </row>
    <row r="135" spans="1:9" x14ac:dyDescent="0.3">
      <c r="A135" t="s">
        <v>117</v>
      </c>
      <c r="B135" t="s">
        <v>295</v>
      </c>
      <c r="C135" t="str">
        <f t="shared" si="4"/>
        <v>L</v>
      </c>
      <c r="D135" s="5">
        <v>0</v>
      </c>
      <c r="E135" s="5">
        <v>0</v>
      </c>
      <c r="F135" s="5">
        <v>0</v>
      </c>
      <c r="G135" s="5">
        <v>0</v>
      </c>
      <c r="H135" s="5">
        <v>0</v>
      </c>
      <c r="I135" s="5">
        <v>0</v>
      </c>
    </row>
    <row r="136" spans="1:9" x14ac:dyDescent="0.3">
      <c r="A136" t="s">
        <v>116</v>
      </c>
      <c r="B136" t="s">
        <v>294</v>
      </c>
      <c r="C136" t="str">
        <f t="shared" si="4"/>
        <v>L</v>
      </c>
      <c r="D136" s="5">
        <v>3</v>
      </c>
      <c r="E136" s="5">
        <v>1</v>
      </c>
      <c r="F136" s="5">
        <v>25</v>
      </c>
      <c r="G136" s="5">
        <v>3</v>
      </c>
      <c r="H136" s="5">
        <v>0</v>
      </c>
      <c r="I136" s="5">
        <v>32</v>
      </c>
    </row>
    <row r="137" spans="1:9" x14ac:dyDescent="0.3">
      <c r="A137" t="s">
        <v>120</v>
      </c>
      <c r="B137" t="s">
        <v>298</v>
      </c>
      <c r="C137" t="str">
        <f t="shared" si="4"/>
        <v>L</v>
      </c>
      <c r="D137" s="5">
        <v>1</v>
      </c>
      <c r="E137" s="5">
        <v>1</v>
      </c>
      <c r="F137" s="5">
        <v>3</v>
      </c>
      <c r="G137" s="5">
        <v>2</v>
      </c>
      <c r="H137" s="5">
        <v>0</v>
      </c>
      <c r="I137" s="5">
        <v>7</v>
      </c>
    </row>
    <row r="138" spans="1:9" x14ac:dyDescent="0.3">
      <c r="A138" t="s">
        <v>119</v>
      </c>
      <c r="B138" t="s">
        <v>297</v>
      </c>
      <c r="C138" t="str">
        <f t="shared" si="4"/>
        <v>L</v>
      </c>
      <c r="D138" s="5">
        <v>0</v>
      </c>
      <c r="E138" s="5">
        <v>0</v>
      </c>
      <c r="F138" s="5">
        <v>0</v>
      </c>
      <c r="G138" s="5">
        <v>0</v>
      </c>
      <c r="H138" s="5">
        <v>0</v>
      </c>
      <c r="I138" s="5">
        <v>0</v>
      </c>
    </row>
    <row r="139" spans="1:9" x14ac:dyDescent="0.3">
      <c r="A139" t="s">
        <v>123</v>
      </c>
      <c r="B139" t="s">
        <v>301</v>
      </c>
      <c r="C139" t="str">
        <f t="shared" si="4"/>
        <v>L</v>
      </c>
      <c r="D139" s="5">
        <v>0</v>
      </c>
      <c r="E139" s="5">
        <v>1</v>
      </c>
      <c r="F139" s="5">
        <v>2</v>
      </c>
      <c r="G139" s="5">
        <v>0</v>
      </c>
      <c r="H139" s="5">
        <v>0</v>
      </c>
      <c r="I139" s="5">
        <v>3</v>
      </c>
    </row>
    <row r="140" spans="1:9" x14ac:dyDescent="0.3">
      <c r="A140" t="s">
        <v>121</v>
      </c>
      <c r="B140" t="s">
        <v>299</v>
      </c>
      <c r="C140" t="str">
        <f t="shared" si="4"/>
        <v>L</v>
      </c>
      <c r="D140" s="5">
        <v>1</v>
      </c>
      <c r="E140" s="5">
        <v>1</v>
      </c>
      <c r="F140" s="5">
        <v>14</v>
      </c>
      <c r="G140" s="5">
        <v>0</v>
      </c>
      <c r="H140" s="5">
        <v>0</v>
      </c>
      <c r="I140" s="5">
        <v>16</v>
      </c>
    </row>
    <row r="141" spans="1:9" x14ac:dyDescent="0.3">
      <c r="A141" t="s">
        <v>122</v>
      </c>
      <c r="B141" t="s">
        <v>300</v>
      </c>
      <c r="C141" t="str">
        <f t="shared" si="4"/>
        <v>L</v>
      </c>
      <c r="D141" s="5">
        <v>0</v>
      </c>
      <c r="E141" s="5">
        <v>0</v>
      </c>
      <c r="F141" s="5">
        <v>0</v>
      </c>
      <c r="G141" s="5">
        <v>0</v>
      </c>
      <c r="H141" s="5">
        <v>0</v>
      </c>
      <c r="I141" s="5">
        <v>0</v>
      </c>
    </row>
    <row r="142" spans="1:9" x14ac:dyDescent="0.3">
      <c r="A142" t="s">
        <v>126</v>
      </c>
      <c r="B142" t="s">
        <v>304</v>
      </c>
      <c r="C142" t="str">
        <f t="shared" si="4"/>
        <v>L</v>
      </c>
      <c r="D142" s="5">
        <v>4</v>
      </c>
      <c r="E142" s="5">
        <v>2</v>
      </c>
      <c r="F142" s="5">
        <v>20</v>
      </c>
      <c r="G142" s="5">
        <v>1</v>
      </c>
      <c r="H142" s="5">
        <v>0</v>
      </c>
      <c r="I142" s="5">
        <v>27</v>
      </c>
    </row>
    <row r="143" spans="1:9" x14ac:dyDescent="0.3">
      <c r="A143" t="s">
        <v>127</v>
      </c>
      <c r="B143" t="s">
        <v>305</v>
      </c>
      <c r="C143" t="str">
        <f t="shared" si="4"/>
        <v>L</v>
      </c>
      <c r="D143" s="5">
        <v>0</v>
      </c>
      <c r="E143" s="5">
        <v>0</v>
      </c>
      <c r="F143" s="5">
        <v>0</v>
      </c>
      <c r="G143" s="5">
        <v>0</v>
      </c>
      <c r="H143" s="5">
        <v>0</v>
      </c>
      <c r="I143" s="5">
        <v>0</v>
      </c>
    </row>
    <row r="144" spans="1:9" x14ac:dyDescent="0.3">
      <c r="A144" t="s">
        <v>129</v>
      </c>
      <c r="B144" t="s">
        <v>307</v>
      </c>
      <c r="C144" t="str">
        <f t="shared" si="4"/>
        <v>L</v>
      </c>
      <c r="D144" s="5">
        <v>0</v>
      </c>
      <c r="E144" s="5">
        <v>0</v>
      </c>
      <c r="F144" s="5">
        <v>1</v>
      </c>
      <c r="G144" s="5">
        <v>0</v>
      </c>
      <c r="H144" s="5">
        <v>0</v>
      </c>
      <c r="I144" s="5">
        <v>1</v>
      </c>
    </row>
    <row r="145" spans="1:9" x14ac:dyDescent="0.3">
      <c r="A145" t="s">
        <v>131</v>
      </c>
      <c r="B145" t="s">
        <v>309</v>
      </c>
      <c r="C145" t="str">
        <f t="shared" si="4"/>
        <v>L</v>
      </c>
      <c r="D145" s="5">
        <v>1</v>
      </c>
      <c r="E145" s="5">
        <v>0</v>
      </c>
      <c r="F145" s="5">
        <v>4</v>
      </c>
      <c r="G145" s="5">
        <v>0</v>
      </c>
      <c r="H145" s="5">
        <v>0</v>
      </c>
      <c r="I145" s="5">
        <v>5</v>
      </c>
    </row>
    <row r="146" spans="1:9" x14ac:dyDescent="0.3">
      <c r="A146" t="s">
        <v>130</v>
      </c>
      <c r="B146" t="s">
        <v>308</v>
      </c>
      <c r="C146" t="str">
        <f t="shared" si="4"/>
        <v>L</v>
      </c>
      <c r="D146" s="5">
        <v>0</v>
      </c>
      <c r="E146" s="5">
        <v>0</v>
      </c>
      <c r="F146" s="5">
        <v>0</v>
      </c>
      <c r="G146" s="5">
        <v>0</v>
      </c>
      <c r="H146" s="5">
        <v>0</v>
      </c>
      <c r="I146" s="5">
        <v>0</v>
      </c>
    </row>
    <row r="147" spans="1:9" x14ac:dyDescent="0.3">
      <c r="A147" t="s">
        <v>133</v>
      </c>
      <c r="B147" t="s">
        <v>311</v>
      </c>
      <c r="C147" t="str">
        <f t="shared" si="4"/>
        <v>L</v>
      </c>
      <c r="D147" s="5">
        <v>2</v>
      </c>
      <c r="E147" s="5">
        <v>9</v>
      </c>
      <c r="F147" s="5">
        <v>26</v>
      </c>
      <c r="G147" s="5">
        <v>3</v>
      </c>
      <c r="H147" s="5">
        <v>0</v>
      </c>
      <c r="I147" s="5">
        <v>40</v>
      </c>
    </row>
    <row r="148" spans="1:9" x14ac:dyDescent="0.3">
      <c r="A148" t="s">
        <v>41</v>
      </c>
      <c r="B148" t="s">
        <v>219</v>
      </c>
      <c r="C148" t="str">
        <f t="shared" si="4"/>
        <v>L</v>
      </c>
      <c r="D148" s="5">
        <v>0</v>
      </c>
      <c r="E148" s="5">
        <v>0</v>
      </c>
      <c r="F148" s="5">
        <v>0</v>
      </c>
      <c r="G148" s="5">
        <v>0</v>
      </c>
      <c r="H148" s="5">
        <v>0</v>
      </c>
      <c r="I148" s="5">
        <v>0</v>
      </c>
    </row>
    <row r="149" spans="1:9" x14ac:dyDescent="0.3">
      <c r="A149" t="s">
        <v>42</v>
      </c>
      <c r="B149" t="s">
        <v>220</v>
      </c>
      <c r="C149" t="str">
        <f t="shared" si="4"/>
        <v>L</v>
      </c>
      <c r="D149" s="5">
        <v>0</v>
      </c>
      <c r="E149" s="5">
        <v>0</v>
      </c>
      <c r="F149" s="5">
        <v>0</v>
      </c>
      <c r="G149" s="5">
        <v>0</v>
      </c>
      <c r="H149" s="5">
        <v>0</v>
      </c>
      <c r="I149" s="5">
        <v>0</v>
      </c>
    </row>
    <row r="150" spans="1:9" x14ac:dyDescent="0.3">
      <c r="A150" t="s">
        <v>135</v>
      </c>
      <c r="B150" t="s">
        <v>313</v>
      </c>
      <c r="C150" t="str">
        <f t="shared" si="4"/>
        <v>L</v>
      </c>
      <c r="D150" s="5">
        <v>0</v>
      </c>
      <c r="E150" s="5">
        <v>1</v>
      </c>
      <c r="F150" s="5">
        <v>0</v>
      </c>
      <c r="G150" s="5">
        <v>0</v>
      </c>
      <c r="H150" s="5">
        <v>0</v>
      </c>
      <c r="I150" s="5">
        <v>1</v>
      </c>
    </row>
    <row r="151" spans="1:9" x14ac:dyDescent="0.3">
      <c r="A151" t="s">
        <v>134</v>
      </c>
      <c r="B151" t="s">
        <v>312</v>
      </c>
      <c r="C151" t="str">
        <f t="shared" si="4"/>
        <v>L</v>
      </c>
      <c r="D151" s="5">
        <v>1</v>
      </c>
      <c r="E151" s="5">
        <v>2</v>
      </c>
      <c r="F151" s="5">
        <v>12</v>
      </c>
      <c r="G151" s="5">
        <v>1</v>
      </c>
      <c r="H151" s="5">
        <v>0</v>
      </c>
      <c r="I151" s="5">
        <v>16</v>
      </c>
    </row>
    <row r="152" spans="1:9" x14ac:dyDescent="0.3">
      <c r="A152" t="s">
        <v>139</v>
      </c>
      <c r="B152" t="s">
        <v>317</v>
      </c>
      <c r="C152" t="str">
        <f t="shared" si="4"/>
        <v>L</v>
      </c>
      <c r="D152" s="5">
        <v>0</v>
      </c>
      <c r="E152" s="5">
        <v>0</v>
      </c>
      <c r="F152" s="5">
        <v>1</v>
      </c>
      <c r="G152" s="5">
        <v>0</v>
      </c>
      <c r="H152" s="5">
        <v>0</v>
      </c>
      <c r="I152" s="5">
        <v>1</v>
      </c>
    </row>
    <row r="153" spans="1:9" x14ac:dyDescent="0.3">
      <c r="A153" t="s">
        <v>142</v>
      </c>
      <c r="B153" t="s">
        <v>320</v>
      </c>
      <c r="C153" t="str">
        <f t="shared" si="4"/>
        <v>L</v>
      </c>
      <c r="D153" s="5">
        <v>0</v>
      </c>
      <c r="E153" s="5">
        <v>1</v>
      </c>
      <c r="F153" s="5">
        <v>1</v>
      </c>
      <c r="G153" s="5">
        <v>0</v>
      </c>
      <c r="H153" s="5">
        <v>0</v>
      </c>
      <c r="I153" s="5">
        <v>2</v>
      </c>
    </row>
    <row r="154" spans="1:9" x14ac:dyDescent="0.3">
      <c r="A154" t="s">
        <v>145</v>
      </c>
      <c r="B154" t="s">
        <v>323</v>
      </c>
      <c r="C154" t="str">
        <f t="shared" si="4"/>
        <v>L</v>
      </c>
      <c r="D154" s="5">
        <v>0</v>
      </c>
      <c r="E154" s="5">
        <v>0</v>
      </c>
      <c r="F154" s="5">
        <v>0</v>
      </c>
      <c r="G154" s="5">
        <v>0</v>
      </c>
      <c r="H154" s="5">
        <v>0</v>
      </c>
      <c r="I154" s="5">
        <v>0</v>
      </c>
    </row>
    <row r="155" spans="1:9" x14ac:dyDescent="0.3">
      <c r="A155" t="s">
        <v>144</v>
      </c>
      <c r="B155" t="s">
        <v>322</v>
      </c>
      <c r="C155" t="str">
        <f t="shared" si="4"/>
        <v>L</v>
      </c>
      <c r="D155" s="5">
        <v>2</v>
      </c>
      <c r="E155" s="5">
        <v>3</v>
      </c>
      <c r="F155" s="5">
        <v>21</v>
      </c>
      <c r="G155" s="5">
        <v>6</v>
      </c>
      <c r="H155" s="5">
        <v>0</v>
      </c>
      <c r="I155" s="5">
        <v>32</v>
      </c>
    </row>
    <row r="156" spans="1:9" x14ac:dyDescent="0.3">
      <c r="A156" t="s">
        <v>148</v>
      </c>
      <c r="B156" t="s">
        <v>326</v>
      </c>
      <c r="C156" t="str">
        <f t="shared" si="4"/>
        <v>L</v>
      </c>
      <c r="D156" s="5">
        <v>0</v>
      </c>
      <c r="E156" s="5">
        <v>0</v>
      </c>
      <c r="F156" s="5">
        <v>0</v>
      </c>
      <c r="G156" s="5">
        <v>0</v>
      </c>
      <c r="H156" s="5">
        <v>0</v>
      </c>
      <c r="I156" s="5">
        <v>0</v>
      </c>
    </row>
    <row r="157" spans="1:9" x14ac:dyDescent="0.3">
      <c r="A157" t="s">
        <v>146</v>
      </c>
      <c r="B157" t="s">
        <v>324</v>
      </c>
      <c r="C157" t="str">
        <f t="shared" si="4"/>
        <v>L</v>
      </c>
      <c r="D157" s="5">
        <v>0</v>
      </c>
      <c r="E157" s="5">
        <v>0</v>
      </c>
      <c r="F157" s="5">
        <v>1</v>
      </c>
      <c r="G157" s="5">
        <v>0</v>
      </c>
      <c r="H157" s="5">
        <v>0</v>
      </c>
      <c r="I157" s="5">
        <v>1</v>
      </c>
    </row>
    <row r="158" spans="1:9" x14ac:dyDescent="0.3">
      <c r="A158" t="s">
        <v>151</v>
      </c>
      <c r="B158" t="s">
        <v>329</v>
      </c>
      <c r="C158" t="str">
        <f t="shared" si="4"/>
        <v>L</v>
      </c>
      <c r="D158" s="5">
        <v>0</v>
      </c>
      <c r="E158" s="5">
        <v>0</v>
      </c>
      <c r="F158" s="5">
        <v>0</v>
      </c>
      <c r="G158" s="5">
        <v>0</v>
      </c>
      <c r="H158" s="5">
        <v>0</v>
      </c>
      <c r="I158" s="5">
        <v>0</v>
      </c>
    </row>
    <row r="159" spans="1:9" x14ac:dyDescent="0.3">
      <c r="A159" t="s">
        <v>152</v>
      </c>
      <c r="B159" t="s">
        <v>330</v>
      </c>
      <c r="C159" t="str">
        <f t="shared" si="4"/>
        <v>L</v>
      </c>
      <c r="D159" s="5">
        <v>2</v>
      </c>
      <c r="E159" s="5">
        <v>5</v>
      </c>
      <c r="F159" s="5">
        <v>25</v>
      </c>
      <c r="G159" s="5">
        <v>3</v>
      </c>
      <c r="H159" s="5">
        <v>0</v>
      </c>
      <c r="I159" s="5">
        <v>35</v>
      </c>
    </row>
    <row r="160" spans="1:9" x14ac:dyDescent="0.3">
      <c r="A160" t="s">
        <v>155</v>
      </c>
      <c r="B160" t="s">
        <v>333</v>
      </c>
      <c r="C160" t="str">
        <f t="shared" si="4"/>
        <v>L</v>
      </c>
      <c r="D160" s="5">
        <v>17</v>
      </c>
      <c r="E160" s="5">
        <v>24</v>
      </c>
      <c r="F160" s="5">
        <v>149</v>
      </c>
      <c r="G160" s="5">
        <v>24</v>
      </c>
      <c r="H160" s="5">
        <v>0</v>
      </c>
      <c r="I160" s="5">
        <v>214</v>
      </c>
    </row>
    <row r="161" spans="1:9" x14ac:dyDescent="0.3">
      <c r="A161" t="s">
        <v>154</v>
      </c>
      <c r="B161" t="s">
        <v>332</v>
      </c>
      <c r="C161" t="str">
        <f t="shared" si="4"/>
        <v>L</v>
      </c>
      <c r="D161" s="5">
        <v>5</v>
      </c>
      <c r="E161" s="5">
        <v>8</v>
      </c>
      <c r="F161" s="5">
        <v>40</v>
      </c>
      <c r="G161" s="5">
        <v>3</v>
      </c>
      <c r="H161" s="5">
        <v>0</v>
      </c>
      <c r="I161" s="5">
        <v>56</v>
      </c>
    </row>
    <row r="162" spans="1:9" x14ac:dyDescent="0.3">
      <c r="A162" t="s">
        <v>159</v>
      </c>
      <c r="B162" t="s">
        <v>337</v>
      </c>
      <c r="C162" t="str">
        <f t="shared" ref="C162:C176" si="5">LEFT(B162,1)</f>
        <v>L</v>
      </c>
      <c r="D162" s="5">
        <v>0</v>
      </c>
      <c r="E162" s="5">
        <v>0</v>
      </c>
      <c r="F162" s="5">
        <v>0</v>
      </c>
      <c r="G162" s="5">
        <v>0</v>
      </c>
      <c r="H162" s="5">
        <v>0</v>
      </c>
      <c r="I162" s="5">
        <v>0</v>
      </c>
    </row>
    <row r="163" spans="1:9" x14ac:dyDescent="0.3">
      <c r="A163" t="s">
        <v>163</v>
      </c>
      <c r="B163" t="s">
        <v>341</v>
      </c>
      <c r="C163" t="str">
        <f t="shared" si="5"/>
        <v>L</v>
      </c>
      <c r="D163" s="5">
        <v>0</v>
      </c>
      <c r="E163" s="5">
        <v>0</v>
      </c>
      <c r="F163" s="5">
        <v>0</v>
      </c>
      <c r="G163" s="5">
        <v>0</v>
      </c>
      <c r="H163" s="5">
        <v>0</v>
      </c>
      <c r="I163" s="5">
        <v>0</v>
      </c>
    </row>
    <row r="164" spans="1:9" x14ac:dyDescent="0.3">
      <c r="A164" t="s">
        <v>161</v>
      </c>
      <c r="B164" t="s">
        <v>339</v>
      </c>
      <c r="C164" t="str">
        <f t="shared" si="5"/>
        <v>L</v>
      </c>
      <c r="D164" s="5">
        <v>3</v>
      </c>
      <c r="E164" s="5">
        <v>7</v>
      </c>
      <c r="F164" s="5">
        <v>9</v>
      </c>
      <c r="G164" s="5">
        <v>1</v>
      </c>
      <c r="H164" s="5">
        <v>0</v>
      </c>
      <c r="I164" s="5">
        <v>20</v>
      </c>
    </row>
    <row r="165" spans="1:9" x14ac:dyDescent="0.3">
      <c r="A165" t="s">
        <v>164</v>
      </c>
      <c r="B165" t="s">
        <v>342</v>
      </c>
      <c r="C165" t="str">
        <f t="shared" si="5"/>
        <v>L</v>
      </c>
      <c r="D165" s="5">
        <v>1</v>
      </c>
      <c r="E165" s="5">
        <v>0</v>
      </c>
      <c r="F165" s="5">
        <v>2</v>
      </c>
      <c r="G165" s="5">
        <v>0</v>
      </c>
      <c r="H165" s="5">
        <v>0</v>
      </c>
      <c r="I165" s="5">
        <v>3</v>
      </c>
    </row>
    <row r="166" spans="1:9" x14ac:dyDescent="0.3">
      <c r="A166" t="s">
        <v>168</v>
      </c>
      <c r="B166" t="s">
        <v>346</v>
      </c>
      <c r="C166" t="str">
        <f t="shared" si="5"/>
        <v>L</v>
      </c>
      <c r="D166" s="5">
        <v>0</v>
      </c>
      <c r="E166" s="5">
        <v>0</v>
      </c>
      <c r="F166" s="5">
        <v>8</v>
      </c>
      <c r="G166" s="5">
        <v>1</v>
      </c>
      <c r="H166" s="5">
        <v>0</v>
      </c>
      <c r="I166" s="5">
        <v>9</v>
      </c>
    </row>
    <row r="167" spans="1:9" x14ac:dyDescent="0.3">
      <c r="A167" t="s">
        <v>167</v>
      </c>
      <c r="B167" t="s">
        <v>345</v>
      </c>
      <c r="C167" t="str">
        <f t="shared" si="5"/>
        <v>L</v>
      </c>
      <c r="D167" s="5">
        <v>0</v>
      </c>
      <c r="E167" s="5">
        <v>1</v>
      </c>
      <c r="F167" s="5">
        <v>3</v>
      </c>
      <c r="G167" s="5">
        <v>1</v>
      </c>
      <c r="H167" s="5">
        <v>0</v>
      </c>
      <c r="I167" s="5">
        <v>5</v>
      </c>
    </row>
    <row r="168" spans="1:9" x14ac:dyDescent="0.3">
      <c r="A168" t="s">
        <v>169</v>
      </c>
      <c r="B168" t="s">
        <v>347</v>
      </c>
      <c r="C168" t="str">
        <f t="shared" si="5"/>
        <v>L</v>
      </c>
      <c r="D168" s="5">
        <v>13</v>
      </c>
      <c r="E168" s="5">
        <v>20</v>
      </c>
      <c r="F168" s="5">
        <v>77</v>
      </c>
      <c r="G168" s="5">
        <v>17</v>
      </c>
      <c r="H168" s="5">
        <v>0</v>
      </c>
      <c r="I168" s="5">
        <v>127</v>
      </c>
    </row>
    <row r="169" spans="1:9" x14ac:dyDescent="0.3">
      <c r="A169" t="s">
        <v>171</v>
      </c>
      <c r="B169" t="s">
        <v>349</v>
      </c>
      <c r="C169" t="str">
        <f t="shared" si="5"/>
        <v>L</v>
      </c>
      <c r="D169" s="5">
        <v>4</v>
      </c>
      <c r="E169" s="5">
        <v>2</v>
      </c>
      <c r="F169" s="5">
        <v>40</v>
      </c>
      <c r="G169" s="5">
        <v>8</v>
      </c>
      <c r="H169" s="5">
        <v>0</v>
      </c>
      <c r="I169" s="5">
        <v>54</v>
      </c>
    </row>
    <row r="170" spans="1:9" x14ac:dyDescent="0.3">
      <c r="A170" t="s">
        <v>172</v>
      </c>
      <c r="B170" t="s">
        <v>350</v>
      </c>
      <c r="C170" t="str">
        <f t="shared" si="5"/>
        <v>L</v>
      </c>
      <c r="D170" s="5">
        <v>7</v>
      </c>
      <c r="E170" s="5">
        <v>12</v>
      </c>
      <c r="F170" s="5">
        <v>52</v>
      </c>
      <c r="G170" s="5">
        <v>6</v>
      </c>
      <c r="H170" s="5">
        <v>0</v>
      </c>
      <c r="I170" s="5">
        <v>77</v>
      </c>
    </row>
    <row r="171" spans="1:9" x14ac:dyDescent="0.3">
      <c r="A171" t="s">
        <v>166</v>
      </c>
      <c r="B171" t="s">
        <v>344</v>
      </c>
      <c r="C171" t="str">
        <f t="shared" si="5"/>
        <v>L</v>
      </c>
      <c r="D171" s="5">
        <v>1</v>
      </c>
      <c r="E171" s="5">
        <v>4</v>
      </c>
      <c r="F171" s="5">
        <v>1</v>
      </c>
      <c r="G171" s="5">
        <v>1</v>
      </c>
      <c r="H171" s="5">
        <v>0</v>
      </c>
      <c r="I171" s="5">
        <v>7</v>
      </c>
    </row>
    <row r="172" spans="1:9" x14ac:dyDescent="0.3">
      <c r="A172" t="s">
        <v>176</v>
      </c>
      <c r="B172" t="s">
        <v>354</v>
      </c>
      <c r="C172" t="str">
        <f t="shared" si="5"/>
        <v>L</v>
      </c>
      <c r="D172" s="5">
        <v>1</v>
      </c>
      <c r="E172" s="5">
        <v>1</v>
      </c>
      <c r="F172" s="5">
        <v>6</v>
      </c>
      <c r="G172" s="5">
        <v>1</v>
      </c>
      <c r="H172" s="5">
        <v>0</v>
      </c>
      <c r="I172" s="5">
        <v>9</v>
      </c>
    </row>
    <row r="173" spans="1:9" x14ac:dyDescent="0.3">
      <c r="A173" t="s">
        <v>181</v>
      </c>
      <c r="B173" t="s">
        <v>359</v>
      </c>
      <c r="C173" t="str">
        <f t="shared" si="5"/>
        <v>L</v>
      </c>
      <c r="D173" s="5">
        <v>0</v>
      </c>
      <c r="E173" s="5">
        <v>0</v>
      </c>
      <c r="F173" s="5">
        <v>0</v>
      </c>
      <c r="G173" s="5">
        <v>0</v>
      </c>
      <c r="H173" s="5">
        <v>0</v>
      </c>
      <c r="I173" s="5">
        <v>0</v>
      </c>
    </row>
    <row r="174" spans="1:9" x14ac:dyDescent="0.3">
      <c r="A174" t="s">
        <v>178</v>
      </c>
      <c r="B174" t="s">
        <v>356</v>
      </c>
      <c r="C174" t="str">
        <f t="shared" si="5"/>
        <v>L</v>
      </c>
      <c r="D174" s="5">
        <v>0</v>
      </c>
      <c r="E174" s="5">
        <v>1</v>
      </c>
      <c r="F174" s="5">
        <v>2</v>
      </c>
      <c r="G174" s="5">
        <v>0</v>
      </c>
      <c r="H174" s="5">
        <v>0</v>
      </c>
      <c r="I174" s="5">
        <v>3</v>
      </c>
    </row>
    <row r="175" spans="1:9" x14ac:dyDescent="0.3">
      <c r="A175" t="s">
        <v>162</v>
      </c>
      <c r="B175" t="s">
        <v>340</v>
      </c>
      <c r="C175" t="str">
        <f t="shared" si="5"/>
        <v>R</v>
      </c>
      <c r="D175" s="5">
        <v>0</v>
      </c>
      <c r="E175" s="5">
        <v>0</v>
      </c>
      <c r="F175" s="5">
        <v>0</v>
      </c>
      <c r="G175" s="5">
        <v>0</v>
      </c>
      <c r="H175" s="5">
        <v>0</v>
      </c>
      <c r="I175" s="5">
        <v>0</v>
      </c>
    </row>
    <row r="176" spans="1:9" x14ac:dyDescent="0.3">
      <c r="A176" t="s">
        <v>174</v>
      </c>
      <c r="B176" t="s">
        <v>352</v>
      </c>
      <c r="C176" t="str">
        <f t="shared" si="5"/>
        <v>S</v>
      </c>
      <c r="D176" s="5">
        <v>21</v>
      </c>
      <c r="E176" s="5">
        <v>26</v>
      </c>
      <c r="F176" s="5">
        <v>155</v>
      </c>
      <c r="G176" s="5">
        <v>28</v>
      </c>
      <c r="H176" s="5">
        <v>0</v>
      </c>
      <c r="I176" s="5">
        <v>230</v>
      </c>
    </row>
    <row r="178" spans="1:9" x14ac:dyDescent="0.3">
      <c r="A178" t="s">
        <v>182</v>
      </c>
      <c r="B178" t="s">
        <v>374</v>
      </c>
      <c r="C178" t="s">
        <v>374</v>
      </c>
      <c r="D178" s="5">
        <v>268</v>
      </c>
      <c r="E178" s="5">
        <v>329</v>
      </c>
      <c r="F178" s="5">
        <v>2058</v>
      </c>
      <c r="G178" s="5">
        <v>282</v>
      </c>
      <c r="H178" s="5">
        <v>0</v>
      </c>
      <c r="I178" s="5">
        <v>2937</v>
      </c>
    </row>
  </sheetData>
  <autoFilter ref="A1:I178"/>
  <sortState ref="A2:I176">
    <sortCondition ref="B2:B1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workbookViewId="0">
      <selection activeCell="K9" sqref="K9"/>
    </sheetView>
  </sheetViews>
  <sheetFormatPr defaultRowHeight="14.4" x14ac:dyDescent="0.3"/>
  <cols>
    <col min="1" max="1" width="12.5546875" bestFit="1" customWidth="1"/>
    <col min="2" max="2" width="12.109375" bestFit="1" customWidth="1"/>
  </cols>
  <sheetData>
    <row r="3" spans="1:2" x14ac:dyDescent="0.3">
      <c r="A3" s="1" t="s">
        <v>363</v>
      </c>
      <c r="B3" t="s">
        <v>381</v>
      </c>
    </row>
    <row r="4" spans="1:2" x14ac:dyDescent="0.3">
      <c r="A4" s="2" t="s">
        <v>364</v>
      </c>
      <c r="B4" s="3">
        <v>234</v>
      </c>
    </row>
    <row r="5" spans="1:2" x14ac:dyDescent="0.3">
      <c r="A5" s="2" t="s">
        <v>365</v>
      </c>
      <c r="B5" s="3">
        <v>32</v>
      </c>
    </row>
    <row r="6" spans="1:2" x14ac:dyDescent="0.3">
      <c r="A6" s="2" t="s">
        <v>366</v>
      </c>
      <c r="B6" s="3">
        <v>388</v>
      </c>
    </row>
    <row r="7" spans="1:2" x14ac:dyDescent="0.3">
      <c r="A7" s="2" t="s">
        <v>367</v>
      </c>
      <c r="B7" s="3">
        <v>36</v>
      </c>
    </row>
    <row r="8" spans="1:2" x14ac:dyDescent="0.3">
      <c r="A8" s="2" t="s">
        <v>368</v>
      </c>
      <c r="B8" s="3">
        <v>1351</v>
      </c>
    </row>
    <row r="9" spans="1:2" x14ac:dyDescent="0.3">
      <c r="A9" s="2" t="s">
        <v>369</v>
      </c>
      <c r="B9" s="3">
        <v>0</v>
      </c>
    </row>
    <row r="10" spans="1:2" x14ac:dyDescent="0.3">
      <c r="A10" s="2" t="s">
        <v>370</v>
      </c>
      <c r="B10" s="3">
        <v>174</v>
      </c>
    </row>
    <row r="11" spans="1:2" x14ac:dyDescent="0.3">
      <c r="A11" s="2" t="s">
        <v>371</v>
      </c>
      <c r="B11" s="3">
        <v>0</v>
      </c>
    </row>
    <row r="12" spans="1:2" x14ac:dyDescent="0.3">
      <c r="A12" s="2" t="s">
        <v>372</v>
      </c>
      <c r="B12" s="3">
        <v>2215</v>
      </c>
    </row>
    <row r="14" spans="1:2" x14ac:dyDescent="0.3">
      <c r="B14">
        <f>B8/B12</f>
        <v>0.60993227990970655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78"/>
  <sheetViews>
    <sheetView topLeftCell="A28" workbookViewId="0">
      <selection activeCell="A46" sqref="A46"/>
    </sheetView>
  </sheetViews>
  <sheetFormatPr defaultRowHeight="14.4" x14ac:dyDescent="0.3"/>
  <cols>
    <col min="1" max="1" width="47.21875" customWidth="1"/>
    <col min="2" max="3" width="11.5546875" customWidth="1"/>
    <col min="4" max="9" width="15.6640625" customWidth="1"/>
  </cols>
  <sheetData>
    <row r="1" spans="1:12" x14ac:dyDescent="0.3">
      <c r="A1" t="s">
        <v>0</v>
      </c>
      <c r="B1" t="s">
        <v>361</v>
      </c>
      <c r="C1" t="s">
        <v>362</v>
      </c>
      <c r="D1" t="s">
        <v>375</v>
      </c>
      <c r="E1" t="s">
        <v>376</v>
      </c>
      <c r="F1" t="s">
        <v>377</v>
      </c>
      <c r="G1" t="s">
        <v>378</v>
      </c>
      <c r="H1" t="s">
        <v>379</v>
      </c>
      <c r="I1" t="s">
        <v>380</v>
      </c>
    </row>
    <row r="2" spans="1:12" x14ac:dyDescent="0.3">
      <c r="A2" t="s">
        <v>6</v>
      </c>
      <c r="B2" t="s">
        <v>184</v>
      </c>
      <c r="C2" t="str">
        <f>LEFT(B2,1)</f>
        <v>C</v>
      </c>
      <c r="D2">
        <v>0</v>
      </c>
      <c r="E2">
        <v>7</v>
      </c>
      <c r="F2">
        <v>82</v>
      </c>
      <c r="G2">
        <v>6</v>
      </c>
      <c r="H2">
        <v>0</v>
      </c>
      <c r="I2">
        <v>95</v>
      </c>
    </row>
    <row r="3" spans="1:12" x14ac:dyDescent="0.3">
      <c r="A3" t="s">
        <v>7</v>
      </c>
      <c r="B3" t="s">
        <v>185</v>
      </c>
      <c r="C3" t="str">
        <f t="shared" ref="C3:C66" si="0">LEFT(B3,1)</f>
        <v>L</v>
      </c>
      <c r="D3">
        <v>0</v>
      </c>
      <c r="E3">
        <v>0</v>
      </c>
      <c r="F3">
        <v>7</v>
      </c>
      <c r="G3">
        <v>4</v>
      </c>
      <c r="H3">
        <v>0</v>
      </c>
      <c r="I3">
        <v>11</v>
      </c>
    </row>
    <row r="4" spans="1:12" x14ac:dyDescent="0.3">
      <c r="A4" t="s">
        <v>8</v>
      </c>
      <c r="B4" t="s">
        <v>186</v>
      </c>
      <c r="C4" t="str">
        <f t="shared" si="0"/>
        <v>L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12" x14ac:dyDescent="0.3">
      <c r="A5" t="s">
        <v>9</v>
      </c>
      <c r="B5" t="s">
        <v>187</v>
      </c>
      <c r="C5" t="str">
        <f t="shared" si="0"/>
        <v>A</v>
      </c>
      <c r="D5">
        <v>0</v>
      </c>
      <c r="E5">
        <v>1</v>
      </c>
      <c r="F5">
        <v>4</v>
      </c>
      <c r="G5">
        <v>1</v>
      </c>
      <c r="H5">
        <v>0</v>
      </c>
      <c r="I5">
        <v>6</v>
      </c>
    </row>
    <row r="6" spans="1:12" x14ac:dyDescent="0.3">
      <c r="A6" t="s">
        <v>10</v>
      </c>
      <c r="B6" t="s">
        <v>188</v>
      </c>
      <c r="C6" t="str">
        <f t="shared" si="0"/>
        <v>A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</row>
    <row r="7" spans="1:12" x14ac:dyDescent="0.3">
      <c r="A7" t="s">
        <v>11</v>
      </c>
      <c r="B7" t="s">
        <v>189</v>
      </c>
      <c r="C7" t="str">
        <f t="shared" si="0"/>
        <v>A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</row>
    <row r="8" spans="1:12" x14ac:dyDescent="0.3">
      <c r="A8" t="s">
        <v>12</v>
      </c>
      <c r="B8" t="s">
        <v>190</v>
      </c>
      <c r="C8" t="str">
        <f t="shared" si="0"/>
        <v>A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L8" t="s">
        <v>374</v>
      </c>
    </row>
    <row r="9" spans="1:12" x14ac:dyDescent="0.3">
      <c r="A9" t="s">
        <v>13</v>
      </c>
      <c r="B9" t="s">
        <v>191</v>
      </c>
      <c r="C9" t="str">
        <f t="shared" si="0"/>
        <v>A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</row>
    <row r="10" spans="1:12" x14ac:dyDescent="0.3">
      <c r="A10" t="s">
        <v>14</v>
      </c>
      <c r="B10" t="s">
        <v>192</v>
      </c>
      <c r="C10" t="str">
        <f t="shared" si="0"/>
        <v>A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12" x14ac:dyDescent="0.3">
      <c r="A11" t="s">
        <v>15</v>
      </c>
      <c r="B11" t="s">
        <v>193</v>
      </c>
      <c r="C11" t="str">
        <f t="shared" si="0"/>
        <v>A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12" x14ac:dyDescent="0.3">
      <c r="A12" t="s">
        <v>16</v>
      </c>
      <c r="B12" t="s">
        <v>194</v>
      </c>
      <c r="C12" t="str">
        <f t="shared" si="0"/>
        <v>A</v>
      </c>
      <c r="D12">
        <v>0</v>
      </c>
      <c r="E12">
        <v>1</v>
      </c>
      <c r="F12">
        <v>0</v>
      </c>
      <c r="G12">
        <v>0</v>
      </c>
      <c r="H12">
        <v>0</v>
      </c>
      <c r="I12">
        <v>1</v>
      </c>
    </row>
    <row r="13" spans="1:12" x14ac:dyDescent="0.3">
      <c r="A13" t="s">
        <v>17</v>
      </c>
      <c r="B13" t="s">
        <v>195</v>
      </c>
      <c r="C13" t="str">
        <f t="shared" si="0"/>
        <v>L</v>
      </c>
      <c r="D13">
        <v>0</v>
      </c>
      <c r="E13">
        <v>0</v>
      </c>
      <c r="F13">
        <v>8</v>
      </c>
      <c r="G13">
        <v>2</v>
      </c>
      <c r="H13">
        <v>0</v>
      </c>
      <c r="I13">
        <v>10</v>
      </c>
    </row>
    <row r="14" spans="1:12" x14ac:dyDescent="0.3">
      <c r="A14" t="s">
        <v>18</v>
      </c>
      <c r="B14" t="s">
        <v>196</v>
      </c>
      <c r="C14" t="str">
        <f t="shared" si="0"/>
        <v>A</v>
      </c>
      <c r="D14">
        <v>0</v>
      </c>
      <c r="E14">
        <v>1</v>
      </c>
      <c r="F14">
        <v>4</v>
      </c>
      <c r="G14">
        <v>0</v>
      </c>
      <c r="H14">
        <v>0</v>
      </c>
      <c r="I14">
        <v>5</v>
      </c>
    </row>
    <row r="15" spans="1:12" x14ac:dyDescent="0.3">
      <c r="A15" t="s">
        <v>19</v>
      </c>
      <c r="B15" t="s">
        <v>197</v>
      </c>
      <c r="C15" t="str">
        <f t="shared" si="0"/>
        <v>L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12" x14ac:dyDescent="0.3">
      <c r="A16" t="s">
        <v>20</v>
      </c>
      <c r="B16" t="s">
        <v>198</v>
      </c>
      <c r="C16" t="str">
        <f t="shared" si="0"/>
        <v>L</v>
      </c>
      <c r="D16">
        <v>0</v>
      </c>
      <c r="E16">
        <v>6</v>
      </c>
      <c r="F16">
        <v>13</v>
      </c>
      <c r="G16">
        <v>2</v>
      </c>
      <c r="H16">
        <v>0</v>
      </c>
      <c r="I16">
        <v>21</v>
      </c>
    </row>
    <row r="17" spans="1:9" x14ac:dyDescent="0.3">
      <c r="A17" t="s">
        <v>21</v>
      </c>
      <c r="B17" t="s">
        <v>199</v>
      </c>
      <c r="C17" t="str">
        <f t="shared" si="0"/>
        <v>A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 t="s">
        <v>22</v>
      </c>
      <c r="B18" t="s">
        <v>200</v>
      </c>
      <c r="C18" t="str">
        <f t="shared" si="0"/>
        <v>A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3">
      <c r="A19" t="s">
        <v>23</v>
      </c>
      <c r="B19" t="s">
        <v>201</v>
      </c>
      <c r="C19" t="str">
        <f t="shared" si="0"/>
        <v>A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 t="s">
        <v>24</v>
      </c>
      <c r="B20" t="s">
        <v>202</v>
      </c>
      <c r="C20" t="str">
        <f t="shared" si="0"/>
        <v>A</v>
      </c>
      <c r="D20">
        <v>0</v>
      </c>
      <c r="E20">
        <v>0</v>
      </c>
      <c r="F20">
        <v>3</v>
      </c>
      <c r="G20">
        <v>1</v>
      </c>
      <c r="H20">
        <v>0</v>
      </c>
      <c r="I20">
        <v>4</v>
      </c>
    </row>
    <row r="21" spans="1:9" x14ac:dyDescent="0.3">
      <c r="A21" t="s">
        <v>25</v>
      </c>
      <c r="B21" t="s">
        <v>203</v>
      </c>
      <c r="C21" t="str">
        <f t="shared" si="0"/>
        <v>L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3">
      <c r="A22" t="s">
        <v>26</v>
      </c>
      <c r="B22" t="s">
        <v>204</v>
      </c>
      <c r="C22" t="str">
        <f t="shared" si="0"/>
        <v>L</v>
      </c>
      <c r="D22">
        <v>0</v>
      </c>
      <c r="E22">
        <v>0</v>
      </c>
      <c r="F22">
        <v>6</v>
      </c>
      <c r="G22">
        <v>0</v>
      </c>
      <c r="H22">
        <v>0</v>
      </c>
      <c r="I22">
        <v>6</v>
      </c>
    </row>
    <row r="23" spans="1:9" x14ac:dyDescent="0.3">
      <c r="A23" t="s">
        <v>27</v>
      </c>
      <c r="B23" t="s">
        <v>205</v>
      </c>
      <c r="C23" t="str">
        <f t="shared" si="0"/>
        <v>L</v>
      </c>
      <c r="D23">
        <v>1</v>
      </c>
      <c r="E23">
        <v>3</v>
      </c>
      <c r="F23">
        <v>23</v>
      </c>
      <c r="G23">
        <v>5</v>
      </c>
      <c r="H23">
        <v>0</v>
      </c>
      <c r="I23">
        <v>32</v>
      </c>
    </row>
    <row r="24" spans="1:9" x14ac:dyDescent="0.3">
      <c r="A24" t="s">
        <v>28</v>
      </c>
      <c r="B24" t="s">
        <v>206</v>
      </c>
      <c r="C24" t="str">
        <f t="shared" si="0"/>
        <v>L</v>
      </c>
      <c r="D24">
        <v>0</v>
      </c>
      <c r="E24">
        <v>1</v>
      </c>
      <c r="F24">
        <v>16</v>
      </c>
      <c r="G24">
        <v>0</v>
      </c>
      <c r="H24">
        <v>0</v>
      </c>
      <c r="I24">
        <v>17</v>
      </c>
    </row>
    <row r="25" spans="1:9" x14ac:dyDescent="0.3">
      <c r="A25" t="s">
        <v>29</v>
      </c>
      <c r="B25" t="s">
        <v>207</v>
      </c>
      <c r="C25" t="str">
        <f t="shared" si="0"/>
        <v>L</v>
      </c>
      <c r="D25">
        <v>1</v>
      </c>
      <c r="E25">
        <v>0</v>
      </c>
      <c r="F25">
        <v>3</v>
      </c>
      <c r="G25">
        <v>0</v>
      </c>
      <c r="H25">
        <v>0</v>
      </c>
      <c r="I25">
        <v>4</v>
      </c>
    </row>
    <row r="26" spans="1:9" x14ac:dyDescent="0.3">
      <c r="A26" t="s">
        <v>30</v>
      </c>
      <c r="B26" t="s">
        <v>208</v>
      </c>
      <c r="C26" t="str">
        <f t="shared" si="0"/>
        <v>L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3">
      <c r="A27" t="s">
        <v>31</v>
      </c>
      <c r="B27" t="s">
        <v>209</v>
      </c>
      <c r="C27" t="str">
        <f t="shared" si="0"/>
        <v>A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 t="s">
        <v>32</v>
      </c>
      <c r="B28" t="s">
        <v>210</v>
      </c>
      <c r="C28" t="str">
        <f t="shared" si="0"/>
        <v>A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 t="s">
        <v>33</v>
      </c>
      <c r="B29" t="s">
        <v>211</v>
      </c>
      <c r="C29" t="str">
        <f t="shared" si="0"/>
        <v>A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3">
      <c r="A30" t="s">
        <v>34</v>
      </c>
      <c r="B30" t="s">
        <v>212</v>
      </c>
      <c r="C30" t="str">
        <f t="shared" si="0"/>
        <v>B</v>
      </c>
      <c r="D30">
        <v>0</v>
      </c>
      <c r="E30">
        <v>2</v>
      </c>
      <c r="F30">
        <v>6</v>
      </c>
      <c r="G30">
        <v>1</v>
      </c>
      <c r="H30">
        <v>0</v>
      </c>
      <c r="I30">
        <v>9</v>
      </c>
    </row>
    <row r="31" spans="1:9" x14ac:dyDescent="0.3">
      <c r="A31" t="s">
        <v>35</v>
      </c>
      <c r="B31" t="s">
        <v>213</v>
      </c>
      <c r="C31" t="str">
        <f t="shared" si="0"/>
        <v>L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3">
      <c r="A32" t="s">
        <v>36</v>
      </c>
      <c r="B32" t="s">
        <v>214</v>
      </c>
      <c r="C32" t="str">
        <f t="shared" si="0"/>
        <v>E</v>
      </c>
      <c r="D32">
        <v>0</v>
      </c>
      <c r="E32">
        <v>1</v>
      </c>
      <c r="F32">
        <v>2</v>
      </c>
      <c r="G32">
        <v>0</v>
      </c>
      <c r="H32">
        <v>0</v>
      </c>
      <c r="I32">
        <v>3</v>
      </c>
    </row>
    <row r="33" spans="1:9" x14ac:dyDescent="0.3">
      <c r="A33" t="s">
        <v>37</v>
      </c>
      <c r="B33" t="s">
        <v>215</v>
      </c>
      <c r="C33" t="str">
        <f t="shared" si="0"/>
        <v>A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 t="s">
        <v>38</v>
      </c>
      <c r="B34" t="s">
        <v>216</v>
      </c>
      <c r="C34" t="str">
        <f t="shared" si="0"/>
        <v>L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3">
      <c r="A35" t="s">
        <v>39</v>
      </c>
      <c r="B35" t="s">
        <v>217</v>
      </c>
      <c r="C35" t="str">
        <f t="shared" si="0"/>
        <v>L</v>
      </c>
      <c r="D35">
        <v>0</v>
      </c>
      <c r="E35">
        <v>1</v>
      </c>
      <c r="F35">
        <v>2</v>
      </c>
      <c r="G35">
        <v>2</v>
      </c>
      <c r="H35">
        <v>0</v>
      </c>
      <c r="I35">
        <v>5</v>
      </c>
    </row>
    <row r="36" spans="1:9" x14ac:dyDescent="0.3">
      <c r="A36" t="s">
        <v>40</v>
      </c>
      <c r="B36" t="s">
        <v>218</v>
      </c>
      <c r="C36" t="str">
        <f t="shared" si="0"/>
        <v>L</v>
      </c>
      <c r="D36">
        <v>0</v>
      </c>
      <c r="E36">
        <v>2</v>
      </c>
      <c r="F36">
        <v>51</v>
      </c>
      <c r="G36">
        <v>13</v>
      </c>
      <c r="H36">
        <v>0</v>
      </c>
      <c r="I36">
        <v>66</v>
      </c>
    </row>
    <row r="37" spans="1:9" x14ac:dyDescent="0.3">
      <c r="A37" t="s">
        <v>41</v>
      </c>
      <c r="B37" t="s">
        <v>219</v>
      </c>
      <c r="C37" t="str">
        <f t="shared" si="0"/>
        <v>L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 t="s">
        <v>42</v>
      </c>
      <c r="B38" t="s">
        <v>220</v>
      </c>
      <c r="C38" t="str">
        <f t="shared" si="0"/>
        <v>L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 t="s">
        <v>43</v>
      </c>
      <c r="B39" t="s">
        <v>221</v>
      </c>
      <c r="C39" t="str">
        <f t="shared" si="0"/>
        <v>L</v>
      </c>
      <c r="D39">
        <v>0</v>
      </c>
      <c r="E39">
        <v>5</v>
      </c>
      <c r="F39">
        <v>17</v>
      </c>
      <c r="G39">
        <v>4</v>
      </c>
      <c r="H39">
        <v>0</v>
      </c>
      <c r="I39">
        <v>26</v>
      </c>
    </row>
    <row r="40" spans="1:9" x14ac:dyDescent="0.3">
      <c r="A40" t="s">
        <v>44</v>
      </c>
      <c r="B40" t="s">
        <v>222</v>
      </c>
      <c r="C40" t="str">
        <f t="shared" si="0"/>
        <v>L</v>
      </c>
      <c r="D40">
        <v>0</v>
      </c>
      <c r="E40">
        <v>1</v>
      </c>
      <c r="F40">
        <v>2</v>
      </c>
      <c r="G40">
        <v>1</v>
      </c>
      <c r="H40">
        <v>0</v>
      </c>
      <c r="I40">
        <v>4</v>
      </c>
    </row>
    <row r="41" spans="1:9" x14ac:dyDescent="0.3">
      <c r="A41" t="s">
        <v>45</v>
      </c>
      <c r="B41" t="s">
        <v>223</v>
      </c>
      <c r="C41" t="str">
        <f t="shared" si="0"/>
        <v>A</v>
      </c>
      <c r="D41">
        <v>0</v>
      </c>
      <c r="E41">
        <v>0</v>
      </c>
      <c r="F41">
        <v>3</v>
      </c>
      <c r="G41">
        <v>0</v>
      </c>
      <c r="H41">
        <v>0</v>
      </c>
      <c r="I41">
        <v>3</v>
      </c>
    </row>
    <row r="42" spans="1:9" x14ac:dyDescent="0.3">
      <c r="A42" t="s">
        <v>46</v>
      </c>
      <c r="B42" t="s">
        <v>224</v>
      </c>
      <c r="C42" t="str">
        <f t="shared" si="0"/>
        <v>L</v>
      </c>
      <c r="D42">
        <v>0</v>
      </c>
      <c r="E42">
        <v>1</v>
      </c>
      <c r="F42">
        <v>8</v>
      </c>
      <c r="G42">
        <v>0</v>
      </c>
      <c r="H42">
        <v>0</v>
      </c>
      <c r="I42">
        <v>9</v>
      </c>
    </row>
    <row r="43" spans="1:9" x14ac:dyDescent="0.3">
      <c r="A43" t="s">
        <v>47</v>
      </c>
      <c r="B43" t="s">
        <v>225</v>
      </c>
      <c r="C43" t="str">
        <f t="shared" si="0"/>
        <v>L</v>
      </c>
      <c r="D43">
        <v>1</v>
      </c>
      <c r="E43">
        <v>11</v>
      </c>
      <c r="F43">
        <v>88</v>
      </c>
      <c r="G43">
        <v>24</v>
      </c>
      <c r="H43">
        <v>0</v>
      </c>
      <c r="I43">
        <v>124</v>
      </c>
    </row>
    <row r="44" spans="1:9" x14ac:dyDescent="0.3">
      <c r="A44" t="s">
        <v>48</v>
      </c>
      <c r="B44" t="s">
        <v>226</v>
      </c>
      <c r="C44" t="str">
        <f t="shared" si="0"/>
        <v>A</v>
      </c>
      <c r="D44">
        <v>0</v>
      </c>
      <c r="E44">
        <v>1</v>
      </c>
      <c r="F44">
        <v>12</v>
      </c>
      <c r="G44">
        <v>2</v>
      </c>
      <c r="H44">
        <v>0</v>
      </c>
      <c r="I44">
        <v>15</v>
      </c>
    </row>
    <row r="45" spans="1:9" x14ac:dyDescent="0.3">
      <c r="A45" t="s">
        <v>49</v>
      </c>
      <c r="B45" t="s">
        <v>227</v>
      </c>
      <c r="C45" t="str">
        <f t="shared" si="0"/>
        <v>A</v>
      </c>
      <c r="D45">
        <v>0</v>
      </c>
      <c r="E45">
        <v>0</v>
      </c>
      <c r="F45">
        <v>0</v>
      </c>
      <c r="G45">
        <v>1</v>
      </c>
      <c r="H45">
        <v>0</v>
      </c>
      <c r="I45">
        <v>1</v>
      </c>
    </row>
    <row r="46" spans="1:9" x14ac:dyDescent="0.3">
      <c r="A46" t="s">
        <v>50</v>
      </c>
      <c r="B46" t="s">
        <v>228</v>
      </c>
      <c r="C46" t="str">
        <f t="shared" si="0"/>
        <v>L</v>
      </c>
      <c r="D46">
        <v>0</v>
      </c>
      <c r="E46">
        <v>0</v>
      </c>
      <c r="F46">
        <v>5</v>
      </c>
      <c r="G46">
        <v>2</v>
      </c>
      <c r="H46">
        <v>0</v>
      </c>
      <c r="I46">
        <v>7</v>
      </c>
    </row>
    <row r="47" spans="1:9" x14ac:dyDescent="0.3">
      <c r="A47" t="s">
        <v>51</v>
      </c>
      <c r="B47" t="s">
        <v>229</v>
      </c>
      <c r="C47" t="str">
        <f t="shared" si="0"/>
        <v>E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3">
      <c r="A48" t="s">
        <v>52</v>
      </c>
      <c r="B48" t="s">
        <v>230</v>
      </c>
      <c r="C48" t="str">
        <f t="shared" si="0"/>
        <v>E</v>
      </c>
      <c r="D48">
        <v>0</v>
      </c>
      <c r="E48">
        <v>0</v>
      </c>
      <c r="F48">
        <v>2</v>
      </c>
      <c r="G48">
        <v>0</v>
      </c>
      <c r="H48">
        <v>0</v>
      </c>
      <c r="I48">
        <v>2</v>
      </c>
    </row>
    <row r="49" spans="1:9" x14ac:dyDescent="0.3">
      <c r="A49" t="s">
        <v>53</v>
      </c>
      <c r="B49" t="s">
        <v>231</v>
      </c>
      <c r="C49" t="str">
        <f t="shared" si="0"/>
        <v>E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 t="s">
        <v>54</v>
      </c>
      <c r="B50" t="s">
        <v>232</v>
      </c>
      <c r="C50" t="str">
        <f t="shared" si="0"/>
        <v>L</v>
      </c>
      <c r="D50">
        <v>1</v>
      </c>
      <c r="E50">
        <v>5</v>
      </c>
      <c r="F50">
        <v>44</v>
      </c>
      <c r="G50">
        <v>11</v>
      </c>
      <c r="H50">
        <v>0</v>
      </c>
      <c r="I50">
        <v>61</v>
      </c>
    </row>
    <row r="51" spans="1:9" x14ac:dyDescent="0.3">
      <c r="A51" t="s">
        <v>55</v>
      </c>
      <c r="B51" t="s">
        <v>233</v>
      </c>
      <c r="C51" t="str">
        <f t="shared" si="0"/>
        <v>E</v>
      </c>
      <c r="D51">
        <v>0</v>
      </c>
      <c r="E51">
        <v>0</v>
      </c>
      <c r="F51">
        <v>12</v>
      </c>
      <c r="G51">
        <v>0</v>
      </c>
      <c r="H51">
        <v>0</v>
      </c>
      <c r="I51">
        <v>12</v>
      </c>
    </row>
    <row r="52" spans="1:9" x14ac:dyDescent="0.3">
      <c r="A52" t="s">
        <v>56</v>
      </c>
      <c r="B52" t="s">
        <v>234</v>
      </c>
      <c r="C52" t="str">
        <f t="shared" si="0"/>
        <v>A</v>
      </c>
      <c r="D52">
        <v>0</v>
      </c>
      <c r="E52">
        <v>0</v>
      </c>
      <c r="F52">
        <v>1</v>
      </c>
      <c r="G52">
        <v>0</v>
      </c>
      <c r="H52">
        <v>0</v>
      </c>
      <c r="I52">
        <v>1</v>
      </c>
    </row>
    <row r="53" spans="1:9" x14ac:dyDescent="0.3">
      <c r="A53" t="s">
        <v>57</v>
      </c>
      <c r="B53" t="s">
        <v>235</v>
      </c>
      <c r="C53" t="str">
        <f t="shared" si="0"/>
        <v>L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3">
      <c r="A54" t="s">
        <v>58</v>
      </c>
      <c r="B54" t="s">
        <v>236</v>
      </c>
      <c r="C54" t="str">
        <f t="shared" si="0"/>
        <v>L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3">
      <c r="A55" t="s">
        <v>59</v>
      </c>
      <c r="B55" t="s">
        <v>237</v>
      </c>
      <c r="C55" t="str">
        <f t="shared" si="0"/>
        <v>L</v>
      </c>
      <c r="D55">
        <v>0</v>
      </c>
      <c r="E55">
        <v>1</v>
      </c>
      <c r="F55">
        <v>4</v>
      </c>
      <c r="G55">
        <v>0</v>
      </c>
      <c r="H55">
        <v>0</v>
      </c>
      <c r="I55">
        <v>5</v>
      </c>
    </row>
    <row r="56" spans="1:9" x14ac:dyDescent="0.3">
      <c r="A56" t="s">
        <v>60</v>
      </c>
      <c r="B56" t="s">
        <v>238</v>
      </c>
      <c r="C56" t="str">
        <f t="shared" si="0"/>
        <v>L</v>
      </c>
      <c r="D56">
        <v>0</v>
      </c>
      <c r="E56">
        <v>9</v>
      </c>
      <c r="F56">
        <v>36</v>
      </c>
      <c r="G56">
        <v>8</v>
      </c>
      <c r="H56">
        <v>0</v>
      </c>
      <c r="I56">
        <v>53</v>
      </c>
    </row>
    <row r="57" spans="1:9" x14ac:dyDescent="0.3">
      <c r="A57" t="s">
        <v>61</v>
      </c>
      <c r="B57" t="s">
        <v>239</v>
      </c>
      <c r="C57" t="str">
        <f t="shared" si="0"/>
        <v>L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3">
      <c r="A58" t="s">
        <v>62</v>
      </c>
      <c r="B58" t="s">
        <v>240</v>
      </c>
      <c r="C58" t="str">
        <f t="shared" si="0"/>
        <v>C</v>
      </c>
      <c r="D58">
        <v>3</v>
      </c>
      <c r="E58">
        <v>22</v>
      </c>
      <c r="F58">
        <v>178</v>
      </c>
      <c r="G58">
        <v>28</v>
      </c>
      <c r="H58">
        <v>0</v>
      </c>
      <c r="I58">
        <v>231</v>
      </c>
    </row>
    <row r="59" spans="1:9" x14ac:dyDescent="0.3">
      <c r="A59" t="s">
        <v>63</v>
      </c>
      <c r="B59" t="s">
        <v>241</v>
      </c>
      <c r="C59" t="str">
        <f t="shared" si="0"/>
        <v>L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3">
      <c r="A60" t="s">
        <v>64</v>
      </c>
      <c r="B60" t="s">
        <v>242</v>
      </c>
      <c r="C60" t="str">
        <f t="shared" si="0"/>
        <v>E</v>
      </c>
      <c r="D60">
        <v>0</v>
      </c>
      <c r="E60">
        <v>0</v>
      </c>
      <c r="F60">
        <v>2</v>
      </c>
      <c r="G60">
        <v>0</v>
      </c>
      <c r="H60">
        <v>0</v>
      </c>
      <c r="I60">
        <v>2</v>
      </c>
    </row>
    <row r="61" spans="1:9" x14ac:dyDescent="0.3">
      <c r="A61" t="s">
        <v>65</v>
      </c>
      <c r="B61" t="s">
        <v>243</v>
      </c>
      <c r="C61" t="str">
        <f t="shared" si="0"/>
        <v>E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3">
      <c r="A62" t="s">
        <v>66</v>
      </c>
      <c r="B62" t="s">
        <v>244</v>
      </c>
      <c r="C62" t="str">
        <f t="shared" si="0"/>
        <v>A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 t="s">
        <v>67</v>
      </c>
      <c r="B63" t="s">
        <v>245</v>
      </c>
      <c r="C63" t="str">
        <f t="shared" si="0"/>
        <v>E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3">
      <c r="A64" t="s">
        <v>68</v>
      </c>
      <c r="B64" t="s">
        <v>246</v>
      </c>
      <c r="C64" t="str">
        <f t="shared" si="0"/>
        <v>E</v>
      </c>
      <c r="D64">
        <v>0</v>
      </c>
      <c r="E64">
        <v>0</v>
      </c>
      <c r="F64">
        <v>2</v>
      </c>
      <c r="G64">
        <v>0</v>
      </c>
      <c r="H64">
        <v>0</v>
      </c>
      <c r="I64">
        <v>2</v>
      </c>
    </row>
    <row r="65" spans="1:9" x14ac:dyDescent="0.3">
      <c r="A65" t="s">
        <v>69</v>
      </c>
      <c r="B65" t="s">
        <v>247</v>
      </c>
      <c r="C65" t="str">
        <f t="shared" si="0"/>
        <v>L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3">
      <c r="A66" t="s">
        <v>70</v>
      </c>
      <c r="B66" t="s">
        <v>248</v>
      </c>
      <c r="C66" t="str">
        <f t="shared" si="0"/>
        <v>L</v>
      </c>
      <c r="D66">
        <v>0</v>
      </c>
      <c r="E66">
        <v>6</v>
      </c>
      <c r="F66">
        <v>47</v>
      </c>
      <c r="G66">
        <v>7</v>
      </c>
      <c r="H66">
        <v>0</v>
      </c>
      <c r="I66">
        <v>60</v>
      </c>
    </row>
    <row r="67" spans="1:9" x14ac:dyDescent="0.3">
      <c r="A67" t="s">
        <v>71</v>
      </c>
      <c r="B67" t="s">
        <v>249</v>
      </c>
      <c r="C67" t="str">
        <f t="shared" ref="C67:C130" si="1">LEFT(B67,1)</f>
        <v>A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3">
      <c r="A68" t="s">
        <v>72</v>
      </c>
      <c r="B68" t="s">
        <v>250</v>
      </c>
      <c r="C68" t="str">
        <f t="shared" si="1"/>
        <v>A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3">
      <c r="A69" t="s">
        <v>73</v>
      </c>
      <c r="B69" t="s">
        <v>251</v>
      </c>
      <c r="C69" t="str">
        <f t="shared" si="1"/>
        <v>L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 t="s">
        <v>74</v>
      </c>
      <c r="B70" t="s">
        <v>252</v>
      </c>
      <c r="C70" t="str">
        <f t="shared" si="1"/>
        <v>A</v>
      </c>
      <c r="D70">
        <v>0</v>
      </c>
      <c r="E70">
        <v>0</v>
      </c>
      <c r="F70">
        <v>1</v>
      </c>
      <c r="G70">
        <v>0</v>
      </c>
      <c r="H70">
        <v>0</v>
      </c>
      <c r="I70">
        <v>1</v>
      </c>
    </row>
    <row r="71" spans="1:9" x14ac:dyDescent="0.3">
      <c r="A71" t="s">
        <v>75</v>
      </c>
      <c r="B71" t="s">
        <v>253</v>
      </c>
      <c r="C71" t="str">
        <f t="shared" si="1"/>
        <v>A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3">
      <c r="A72" t="s">
        <v>76</v>
      </c>
      <c r="B72" t="s">
        <v>254</v>
      </c>
      <c r="C72" t="str">
        <f t="shared" si="1"/>
        <v>A</v>
      </c>
      <c r="D72">
        <v>0</v>
      </c>
      <c r="E72">
        <v>2</v>
      </c>
      <c r="F72">
        <v>9</v>
      </c>
      <c r="G72">
        <v>3</v>
      </c>
      <c r="H72">
        <v>0</v>
      </c>
      <c r="I72">
        <v>14</v>
      </c>
    </row>
    <row r="73" spans="1:9" x14ac:dyDescent="0.3">
      <c r="A73" t="s">
        <v>77</v>
      </c>
      <c r="B73" t="s">
        <v>255</v>
      </c>
      <c r="C73" t="str">
        <f t="shared" si="1"/>
        <v>A</v>
      </c>
      <c r="D73">
        <v>0</v>
      </c>
      <c r="E73">
        <v>0</v>
      </c>
      <c r="F73">
        <v>5</v>
      </c>
      <c r="G73">
        <v>2</v>
      </c>
      <c r="H73">
        <v>0</v>
      </c>
      <c r="I73">
        <v>7</v>
      </c>
    </row>
    <row r="74" spans="1:9" x14ac:dyDescent="0.3">
      <c r="A74" t="s">
        <v>78</v>
      </c>
      <c r="B74" t="s">
        <v>256</v>
      </c>
      <c r="C74" t="str">
        <f t="shared" si="1"/>
        <v>B</v>
      </c>
      <c r="D74">
        <v>0</v>
      </c>
      <c r="E74">
        <v>0</v>
      </c>
      <c r="F74">
        <v>2</v>
      </c>
      <c r="G74">
        <v>0</v>
      </c>
      <c r="H74">
        <v>0</v>
      </c>
      <c r="I74">
        <v>2</v>
      </c>
    </row>
    <row r="75" spans="1:9" x14ac:dyDescent="0.3">
      <c r="A75" t="s">
        <v>79</v>
      </c>
      <c r="B75" t="s">
        <v>257</v>
      </c>
      <c r="C75" t="str">
        <f t="shared" si="1"/>
        <v>B</v>
      </c>
      <c r="D75">
        <v>0</v>
      </c>
      <c r="E75">
        <v>1</v>
      </c>
      <c r="F75">
        <v>4</v>
      </c>
      <c r="G75">
        <v>2</v>
      </c>
      <c r="H75">
        <v>0</v>
      </c>
      <c r="I75">
        <v>7</v>
      </c>
    </row>
    <row r="76" spans="1:9" x14ac:dyDescent="0.3">
      <c r="A76" t="s">
        <v>80</v>
      </c>
      <c r="B76" t="s">
        <v>258</v>
      </c>
      <c r="C76" t="str">
        <f t="shared" si="1"/>
        <v>L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 t="s">
        <v>81</v>
      </c>
      <c r="B77" t="s">
        <v>259</v>
      </c>
      <c r="C77" t="str">
        <f t="shared" si="1"/>
        <v>L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3">
      <c r="A78" t="s">
        <v>82</v>
      </c>
      <c r="B78" t="s">
        <v>260</v>
      </c>
      <c r="C78" t="str">
        <f t="shared" si="1"/>
        <v>L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3">
      <c r="A79" t="s">
        <v>83</v>
      </c>
      <c r="B79" t="s">
        <v>261</v>
      </c>
      <c r="C79" t="str">
        <f t="shared" si="1"/>
        <v>A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3">
      <c r="A80" t="s">
        <v>84</v>
      </c>
      <c r="B80" t="s">
        <v>262</v>
      </c>
      <c r="C80" t="str">
        <f t="shared" si="1"/>
        <v>L</v>
      </c>
      <c r="D80">
        <v>0</v>
      </c>
      <c r="E80">
        <v>1</v>
      </c>
      <c r="F80">
        <v>5</v>
      </c>
      <c r="G80">
        <v>0</v>
      </c>
      <c r="H80">
        <v>0</v>
      </c>
      <c r="I80">
        <v>6</v>
      </c>
    </row>
    <row r="81" spans="1:9" x14ac:dyDescent="0.3">
      <c r="A81" t="s">
        <v>85</v>
      </c>
      <c r="B81" t="s">
        <v>263</v>
      </c>
      <c r="C81" t="str">
        <f t="shared" si="1"/>
        <v>A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 t="s">
        <v>86</v>
      </c>
      <c r="B82" t="s">
        <v>264</v>
      </c>
      <c r="C82" t="str">
        <f t="shared" si="1"/>
        <v>A</v>
      </c>
      <c r="D82">
        <v>1</v>
      </c>
      <c r="E82">
        <v>1</v>
      </c>
      <c r="F82">
        <v>0</v>
      </c>
      <c r="G82">
        <v>1</v>
      </c>
      <c r="H82">
        <v>0</v>
      </c>
      <c r="I82">
        <v>3</v>
      </c>
    </row>
    <row r="83" spans="1:9" x14ac:dyDescent="0.3">
      <c r="A83" t="s">
        <v>87</v>
      </c>
      <c r="B83" t="s">
        <v>265</v>
      </c>
      <c r="C83" t="str">
        <f t="shared" si="1"/>
        <v>L</v>
      </c>
      <c r="D83">
        <v>0</v>
      </c>
      <c r="E83">
        <v>1</v>
      </c>
      <c r="F83">
        <v>11</v>
      </c>
      <c r="G83">
        <v>3</v>
      </c>
      <c r="H83">
        <v>0</v>
      </c>
      <c r="I83">
        <v>15</v>
      </c>
    </row>
    <row r="84" spans="1:9" x14ac:dyDescent="0.3">
      <c r="A84" t="s">
        <v>88</v>
      </c>
      <c r="B84" t="s">
        <v>266</v>
      </c>
      <c r="C84" t="str">
        <f t="shared" si="1"/>
        <v>A</v>
      </c>
      <c r="D84">
        <v>0</v>
      </c>
      <c r="E84">
        <v>0</v>
      </c>
      <c r="F84">
        <v>1</v>
      </c>
      <c r="G84">
        <v>0</v>
      </c>
      <c r="H84">
        <v>0</v>
      </c>
      <c r="I84">
        <v>1</v>
      </c>
    </row>
    <row r="85" spans="1:9" x14ac:dyDescent="0.3">
      <c r="A85" t="s">
        <v>89</v>
      </c>
      <c r="B85" t="s">
        <v>267</v>
      </c>
      <c r="C85" t="str">
        <f t="shared" si="1"/>
        <v>L</v>
      </c>
      <c r="D85">
        <v>0</v>
      </c>
      <c r="E85">
        <v>2</v>
      </c>
      <c r="F85">
        <v>14</v>
      </c>
      <c r="G85">
        <v>3</v>
      </c>
      <c r="H85">
        <v>0</v>
      </c>
      <c r="I85">
        <v>19</v>
      </c>
    </row>
    <row r="86" spans="1:9" x14ac:dyDescent="0.3">
      <c r="A86" t="s">
        <v>90</v>
      </c>
      <c r="B86" t="s">
        <v>268</v>
      </c>
      <c r="C86" t="str">
        <f t="shared" si="1"/>
        <v>A</v>
      </c>
      <c r="D86">
        <v>0</v>
      </c>
      <c r="E86">
        <v>3</v>
      </c>
      <c r="F86">
        <v>16</v>
      </c>
      <c r="G86">
        <v>1</v>
      </c>
      <c r="H86">
        <v>0</v>
      </c>
      <c r="I86">
        <v>20</v>
      </c>
    </row>
    <row r="87" spans="1:9" x14ac:dyDescent="0.3">
      <c r="A87" t="s">
        <v>91</v>
      </c>
      <c r="B87" t="s">
        <v>269</v>
      </c>
      <c r="C87" t="str">
        <f t="shared" si="1"/>
        <v>A</v>
      </c>
      <c r="D87">
        <v>0</v>
      </c>
      <c r="E87">
        <v>0</v>
      </c>
      <c r="F87">
        <v>1</v>
      </c>
      <c r="G87">
        <v>0</v>
      </c>
      <c r="H87">
        <v>0</v>
      </c>
      <c r="I87">
        <v>1</v>
      </c>
    </row>
    <row r="88" spans="1:9" x14ac:dyDescent="0.3">
      <c r="A88" t="s">
        <v>92</v>
      </c>
      <c r="B88" t="s">
        <v>270</v>
      </c>
      <c r="C88" t="str">
        <f t="shared" si="1"/>
        <v>L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3">
      <c r="A89" t="s">
        <v>93</v>
      </c>
      <c r="B89" t="s">
        <v>271</v>
      </c>
      <c r="C89" t="str">
        <f t="shared" si="1"/>
        <v>L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3">
      <c r="A90" t="s">
        <v>94</v>
      </c>
      <c r="B90" t="s">
        <v>272</v>
      </c>
      <c r="C90" t="str">
        <f t="shared" si="1"/>
        <v>L</v>
      </c>
      <c r="D90">
        <v>0</v>
      </c>
      <c r="E90">
        <v>0</v>
      </c>
      <c r="F90">
        <v>2</v>
      </c>
      <c r="G90">
        <v>0</v>
      </c>
      <c r="H90">
        <v>0</v>
      </c>
      <c r="I90">
        <v>2</v>
      </c>
    </row>
    <row r="91" spans="1:9" x14ac:dyDescent="0.3">
      <c r="A91" t="s">
        <v>95</v>
      </c>
      <c r="B91" t="s">
        <v>273</v>
      </c>
      <c r="C91" t="str">
        <f t="shared" si="1"/>
        <v>L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 t="s">
        <v>96</v>
      </c>
      <c r="B92" t="s">
        <v>274</v>
      </c>
      <c r="C92" t="str">
        <f t="shared" si="1"/>
        <v>L</v>
      </c>
      <c r="D92">
        <v>0</v>
      </c>
      <c r="E92">
        <v>0</v>
      </c>
      <c r="F92">
        <v>3</v>
      </c>
      <c r="G92">
        <v>0</v>
      </c>
      <c r="H92">
        <v>0</v>
      </c>
      <c r="I92">
        <v>3</v>
      </c>
    </row>
    <row r="93" spans="1:9" x14ac:dyDescent="0.3">
      <c r="A93" t="s">
        <v>97</v>
      </c>
      <c r="B93" t="s">
        <v>275</v>
      </c>
      <c r="C93" t="str">
        <f t="shared" si="1"/>
        <v>L</v>
      </c>
      <c r="D93">
        <v>2</v>
      </c>
      <c r="E93">
        <v>2</v>
      </c>
      <c r="F93">
        <v>15</v>
      </c>
      <c r="G93">
        <v>2</v>
      </c>
      <c r="H93">
        <v>0</v>
      </c>
      <c r="I93">
        <v>21</v>
      </c>
    </row>
    <row r="94" spans="1:9" x14ac:dyDescent="0.3">
      <c r="A94" t="s">
        <v>98</v>
      </c>
      <c r="B94" t="s">
        <v>276</v>
      </c>
      <c r="C94" t="str">
        <f t="shared" si="1"/>
        <v>A</v>
      </c>
      <c r="D94">
        <v>0</v>
      </c>
      <c r="E94">
        <v>2</v>
      </c>
      <c r="F94">
        <v>13</v>
      </c>
      <c r="G94">
        <v>1</v>
      </c>
      <c r="H94">
        <v>0</v>
      </c>
      <c r="I94">
        <v>16</v>
      </c>
    </row>
    <row r="95" spans="1:9" x14ac:dyDescent="0.3">
      <c r="A95" t="s">
        <v>99</v>
      </c>
      <c r="B95" t="s">
        <v>277</v>
      </c>
      <c r="C95" t="str">
        <f t="shared" si="1"/>
        <v>L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3">
      <c r="A96" t="s">
        <v>100</v>
      </c>
      <c r="B96" t="s">
        <v>278</v>
      </c>
      <c r="C96" t="str">
        <f t="shared" si="1"/>
        <v>L</v>
      </c>
      <c r="D96">
        <v>0</v>
      </c>
      <c r="E96">
        <v>0</v>
      </c>
      <c r="F96">
        <v>0</v>
      </c>
      <c r="G96">
        <v>1</v>
      </c>
      <c r="H96">
        <v>0</v>
      </c>
      <c r="I96">
        <v>1</v>
      </c>
    </row>
    <row r="97" spans="1:9" x14ac:dyDescent="0.3">
      <c r="A97" t="s">
        <v>101</v>
      </c>
      <c r="B97" t="s">
        <v>279</v>
      </c>
      <c r="C97" t="str">
        <f t="shared" si="1"/>
        <v>L</v>
      </c>
      <c r="D97">
        <v>0</v>
      </c>
      <c r="E97">
        <v>9</v>
      </c>
      <c r="F97">
        <v>56</v>
      </c>
      <c r="G97">
        <v>8</v>
      </c>
      <c r="H97">
        <v>0</v>
      </c>
      <c r="I97">
        <v>73</v>
      </c>
    </row>
    <row r="98" spans="1:9" x14ac:dyDescent="0.3">
      <c r="A98" t="s">
        <v>102</v>
      </c>
      <c r="B98" t="s">
        <v>280</v>
      </c>
      <c r="C98" t="str">
        <f t="shared" si="1"/>
        <v>L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3">
      <c r="A99" t="s">
        <v>103</v>
      </c>
      <c r="B99" t="s">
        <v>281</v>
      </c>
      <c r="C99" t="str">
        <f t="shared" si="1"/>
        <v>A</v>
      </c>
      <c r="D99">
        <v>0</v>
      </c>
      <c r="E99">
        <v>3</v>
      </c>
      <c r="F99">
        <v>53</v>
      </c>
      <c r="G99">
        <v>14</v>
      </c>
      <c r="H99">
        <v>0</v>
      </c>
      <c r="I99">
        <v>70</v>
      </c>
    </row>
    <row r="100" spans="1:9" x14ac:dyDescent="0.3">
      <c r="A100" t="s">
        <v>104</v>
      </c>
      <c r="B100" t="s">
        <v>282</v>
      </c>
      <c r="C100" t="str">
        <f t="shared" si="1"/>
        <v>B</v>
      </c>
      <c r="D100">
        <v>0</v>
      </c>
      <c r="E100">
        <v>1</v>
      </c>
      <c r="F100">
        <v>5</v>
      </c>
      <c r="G100">
        <v>1</v>
      </c>
      <c r="H100">
        <v>0</v>
      </c>
      <c r="I100">
        <v>7</v>
      </c>
    </row>
    <row r="101" spans="1:9" x14ac:dyDescent="0.3">
      <c r="A101" t="s">
        <v>105</v>
      </c>
      <c r="B101" t="s">
        <v>283</v>
      </c>
      <c r="C101" t="str">
        <f t="shared" si="1"/>
        <v>L</v>
      </c>
      <c r="D101">
        <v>0</v>
      </c>
      <c r="E101">
        <v>6</v>
      </c>
      <c r="F101">
        <v>20</v>
      </c>
      <c r="G101">
        <v>6</v>
      </c>
      <c r="H101">
        <v>0</v>
      </c>
      <c r="I101">
        <v>32</v>
      </c>
    </row>
    <row r="102" spans="1:9" x14ac:dyDescent="0.3">
      <c r="A102" t="s">
        <v>106</v>
      </c>
      <c r="B102" t="s">
        <v>284</v>
      </c>
      <c r="C102" t="str">
        <f t="shared" si="1"/>
        <v>A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 t="s">
        <v>107</v>
      </c>
      <c r="B103" t="s">
        <v>285</v>
      </c>
      <c r="C103" t="str">
        <f t="shared" si="1"/>
        <v>A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3">
      <c r="A104" t="s">
        <v>108</v>
      </c>
      <c r="B104" t="s">
        <v>286</v>
      </c>
      <c r="C104" t="str">
        <f t="shared" si="1"/>
        <v>L</v>
      </c>
      <c r="D104">
        <v>0</v>
      </c>
      <c r="E104">
        <v>0</v>
      </c>
      <c r="F104">
        <v>1</v>
      </c>
      <c r="G104">
        <v>0</v>
      </c>
      <c r="H104">
        <v>0</v>
      </c>
      <c r="I104">
        <v>1</v>
      </c>
    </row>
    <row r="105" spans="1:9" x14ac:dyDescent="0.3">
      <c r="A105" t="s">
        <v>109</v>
      </c>
      <c r="B105" t="s">
        <v>287</v>
      </c>
      <c r="C105" t="str">
        <f t="shared" si="1"/>
        <v>A</v>
      </c>
      <c r="D105">
        <v>0</v>
      </c>
      <c r="E105">
        <v>0</v>
      </c>
      <c r="F105">
        <v>0</v>
      </c>
      <c r="G105">
        <v>1</v>
      </c>
      <c r="H105">
        <v>0</v>
      </c>
      <c r="I105">
        <v>1</v>
      </c>
    </row>
    <row r="106" spans="1:9" x14ac:dyDescent="0.3">
      <c r="A106" t="s">
        <v>110</v>
      </c>
      <c r="B106" t="s">
        <v>288</v>
      </c>
      <c r="C106" t="str">
        <f t="shared" si="1"/>
        <v>A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 t="s">
        <v>111</v>
      </c>
      <c r="B107" t="s">
        <v>289</v>
      </c>
      <c r="C107" t="str">
        <f t="shared" si="1"/>
        <v>A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3">
      <c r="A108" t="s">
        <v>112</v>
      </c>
      <c r="B108" t="s">
        <v>290</v>
      </c>
      <c r="C108" t="str">
        <f t="shared" si="1"/>
        <v>A</v>
      </c>
      <c r="D108">
        <v>0</v>
      </c>
      <c r="E108">
        <v>0</v>
      </c>
      <c r="F108">
        <v>0</v>
      </c>
      <c r="G108">
        <v>1</v>
      </c>
      <c r="H108">
        <v>0</v>
      </c>
      <c r="I108">
        <v>1</v>
      </c>
    </row>
    <row r="109" spans="1:9" x14ac:dyDescent="0.3">
      <c r="A109" t="s">
        <v>113</v>
      </c>
      <c r="B109" t="s">
        <v>291</v>
      </c>
      <c r="C109" t="str">
        <f t="shared" si="1"/>
        <v>A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 t="s">
        <v>114</v>
      </c>
      <c r="B110" t="s">
        <v>292</v>
      </c>
      <c r="C110" t="str">
        <f t="shared" si="1"/>
        <v>L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3">
      <c r="A111" t="s">
        <v>115</v>
      </c>
      <c r="B111" t="s">
        <v>293</v>
      </c>
      <c r="C111" t="str">
        <f t="shared" si="1"/>
        <v>L</v>
      </c>
      <c r="D111">
        <v>0</v>
      </c>
      <c r="E111">
        <v>0</v>
      </c>
      <c r="F111">
        <v>7</v>
      </c>
      <c r="G111">
        <v>0</v>
      </c>
      <c r="H111">
        <v>0</v>
      </c>
      <c r="I111">
        <v>7</v>
      </c>
    </row>
    <row r="112" spans="1:9" x14ac:dyDescent="0.3">
      <c r="A112" t="s">
        <v>116</v>
      </c>
      <c r="B112" t="s">
        <v>294</v>
      </c>
      <c r="C112" t="str">
        <f t="shared" si="1"/>
        <v>L</v>
      </c>
      <c r="D112">
        <v>1</v>
      </c>
      <c r="E112">
        <v>6</v>
      </c>
      <c r="F112">
        <v>32</v>
      </c>
      <c r="G112">
        <v>2</v>
      </c>
      <c r="H112">
        <v>0</v>
      </c>
      <c r="I112">
        <v>41</v>
      </c>
    </row>
    <row r="113" spans="1:9" x14ac:dyDescent="0.3">
      <c r="A113" t="s">
        <v>117</v>
      </c>
      <c r="B113" t="s">
        <v>295</v>
      </c>
      <c r="C113" t="str">
        <f t="shared" si="1"/>
        <v>L</v>
      </c>
      <c r="D113">
        <v>0</v>
      </c>
      <c r="E113">
        <v>0</v>
      </c>
      <c r="F113">
        <v>2</v>
      </c>
      <c r="G113">
        <v>0</v>
      </c>
      <c r="H113">
        <v>0</v>
      </c>
      <c r="I113">
        <v>2</v>
      </c>
    </row>
    <row r="114" spans="1:9" x14ac:dyDescent="0.3">
      <c r="A114" t="s">
        <v>118</v>
      </c>
      <c r="B114" t="s">
        <v>296</v>
      </c>
      <c r="C114" t="str">
        <f t="shared" si="1"/>
        <v>A</v>
      </c>
      <c r="D114">
        <v>0</v>
      </c>
      <c r="E114">
        <v>0</v>
      </c>
      <c r="F114">
        <v>3</v>
      </c>
      <c r="G114">
        <v>0</v>
      </c>
      <c r="H114">
        <v>0</v>
      </c>
      <c r="I114">
        <v>3</v>
      </c>
    </row>
    <row r="115" spans="1:9" x14ac:dyDescent="0.3">
      <c r="A115" t="s">
        <v>119</v>
      </c>
      <c r="B115" t="s">
        <v>297</v>
      </c>
      <c r="C115" t="str">
        <f t="shared" si="1"/>
        <v>L</v>
      </c>
      <c r="D115">
        <v>0</v>
      </c>
      <c r="E115">
        <v>0</v>
      </c>
      <c r="F115">
        <v>1</v>
      </c>
      <c r="G115">
        <v>0</v>
      </c>
      <c r="H115">
        <v>0</v>
      </c>
      <c r="I115">
        <v>1</v>
      </c>
    </row>
    <row r="116" spans="1:9" x14ac:dyDescent="0.3">
      <c r="A116" t="s">
        <v>120</v>
      </c>
      <c r="B116" t="s">
        <v>298</v>
      </c>
      <c r="C116" t="str">
        <f t="shared" si="1"/>
        <v>L</v>
      </c>
      <c r="D116">
        <v>1</v>
      </c>
      <c r="E116">
        <v>1</v>
      </c>
      <c r="F116">
        <v>8</v>
      </c>
      <c r="G116">
        <v>3</v>
      </c>
      <c r="H116">
        <v>0</v>
      </c>
      <c r="I116">
        <v>13</v>
      </c>
    </row>
    <row r="117" spans="1:9" x14ac:dyDescent="0.3">
      <c r="A117" t="s">
        <v>121</v>
      </c>
      <c r="B117" t="s">
        <v>299</v>
      </c>
      <c r="C117" t="str">
        <f t="shared" si="1"/>
        <v>L</v>
      </c>
      <c r="D117">
        <v>0</v>
      </c>
      <c r="E117">
        <v>3</v>
      </c>
      <c r="F117">
        <v>12</v>
      </c>
      <c r="G117">
        <v>5</v>
      </c>
      <c r="H117">
        <v>0</v>
      </c>
      <c r="I117">
        <v>20</v>
      </c>
    </row>
    <row r="118" spans="1:9" x14ac:dyDescent="0.3">
      <c r="A118" t="s">
        <v>122</v>
      </c>
      <c r="B118" t="s">
        <v>300</v>
      </c>
      <c r="C118" t="str">
        <f t="shared" si="1"/>
        <v>L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 t="s">
        <v>123</v>
      </c>
      <c r="B119" t="s">
        <v>301</v>
      </c>
      <c r="C119" t="str">
        <f t="shared" si="1"/>
        <v>L</v>
      </c>
      <c r="D119">
        <v>0</v>
      </c>
      <c r="E119">
        <v>0</v>
      </c>
      <c r="F119">
        <v>2</v>
      </c>
      <c r="G119">
        <v>1</v>
      </c>
      <c r="H119">
        <v>0</v>
      </c>
      <c r="I119">
        <v>3</v>
      </c>
    </row>
    <row r="120" spans="1:9" x14ac:dyDescent="0.3">
      <c r="A120" t="s">
        <v>124</v>
      </c>
      <c r="B120" t="s">
        <v>302</v>
      </c>
      <c r="C120" t="str">
        <f t="shared" si="1"/>
        <v>A</v>
      </c>
      <c r="D120">
        <v>0</v>
      </c>
      <c r="E120">
        <v>4</v>
      </c>
      <c r="F120">
        <v>16</v>
      </c>
      <c r="G120">
        <v>1</v>
      </c>
      <c r="H120">
        <v>0</v>
      </c>
      <c r="I120">
        <v>21</v>
      </c>
    </row>
    <row r="121" spans="1:9" x14ac:dyDescent="0.3">
      <c r="A121" t="s">
        <v>125</v>
      </c>
      <c r="B121" t="s">
        <v>303</v>
      </c>
      <c r="C121" t="str">
        <f t="shared" si="1"/>
        <v>E</v>
      </c>
      <c r="D121">
        <v>0</v>
      </c>
      <c r="E121">
        <v>0</v>
      </c>
      <c r="F121">
        <v>2</v>
      </c>
      <c r="G121">
        <v>0</v>
      </c>
      <c r="H121">
        <v>0</v>
      </c>
      <c r="I121">
        <v>2</v>
      </c>
    </row>
    <row r="122" spans="1:9" x14ac:dyDescent="0.3">
      <c r="A122" t="s">
        <v>126</v>
      </c>
      <c r="B122" t="s">
        <v>304</v>
      </c>
      <c r="C122" t="str">
        <f t="shared" si="1"/>
        <v>L</v>
      </c>
      <c r="D122">
        <v>0</v>
      </c>
      <c r="E122">
        <v>4</v>
      </c>
      <c r="F122">
        <v>14</v>
      </c>
      <c r="G122">
        <v>4</v>
      </c>
      <c r="H122">
        <v>0</v>
      </c>
      <c r="I122">
        <v>22</v>
      </c>
    </row>
    <row r="123" spans="1:9" x14ac:dyDescent="0.3">
      <c r="A123" t="s">
        <v>127</v>
      </c>
      <c r="B123" t="s">
        <v>305</v>
      </c>
      <c r="C123" t="str">
        <f t="shared" si="1"/>
        <v>L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 t="s">
        <v>128</v>
      </c>
      <c r="B124" t="s">
        <v>306</v>
      </c>
      <c r="C124" t="str">
        <f t="shared" si="1"/>
        <v>A</v>
      </c>
      <c r="D124">
        <v>1</v>
      </c>
      <c r="E124">
        <v>1</v>
      </c>
      <c r="F124">
        <v>3</v>
      </c>
      <c r="G124">
        <v>0</v>
      </c>
      <c r="H124">
        <v>0</v>
      </c>
      <c r="I124">
        <v>5</v>
      </c>
    </row>
    <row r="125" spans="1:9" x14ac:dyDescent="0.3">
      <c r="A125" t="s">
        <v>129</v>
      </c>
      <c r="B125" t="s">
        <v>307</v>
      </c>
      <c r="C125" t="str">
        <f t="shared" si="1"/>
        <v>L</v>
      </c>
      <c r="D125">
        <v>0</v>
      </c>
      <c r="E125">
        <v>0</v>
      </c>
      <c r="F125">
        <v>1</v>
      </c>
      <c r="G125">
        <v>0</v>
      </c>
      <c r="H125">
        <v>0</v>
      </c>
      <c r="I125">
        <v>1</v>
      </c>
    </row>
    <row r="126" spans="1:9" x14ac:dyDescent="0.3">
      <c r="A126" t="s">
        <v>130</v>
      </c>
      <c r="B126" t="s">
        <v>308</v>
      </c>
      <c r="C126" t="str">
        <f t="shared" si="1"/>
        <v>L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 t="s">
        <v>131</v>
      </c>
      <c r="B127" t="s">
        <v>309</v>
      </c>
      <c r="C127" t="str">
        <f t="shared" si="1"/>
        <v>L</v>
      </c>
      <c r="D127">
        <v>0</v>
      </c>
      <c r="E127">
        <v>0</v>
      </c>
      <c r="F127">
        <v>5</v>
      </c>
      <c r="G127">
        <v>1</v>
      </c>
      <c r="H127">
        <v>0</v>
      </c>
      <c r="I127">
        <v>6</v>
      </c>
    </row>
    <row r="128" spans="1:9" x14ac:dyDescent="0.3">
      <c r="A128" t="s">
        <v>132</v>
      </c>
      <c r="B128" t="s">
        <v>310</v>
      </c>
      <c r="C128" t="str">
        <f t="shared" si="1"/>
        <v>L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3">
      <c r="A129" t="s">
        <v>133</v>
      </c>
      <c r="B129" t="s">
        <v>311</v>
      </c>
      <c r="C129" t="str">
        <f t="shared" si="1"/>
        <v>L</v>
      </c>
      <c r="D129">
        <v>0</v>
      </c>
      <c r="E129">
        <v>3</v>
      </c>
      <c r="F129">
        <v>28</v>
      </c>
      <c r="G129">
        <v>2</v>
      </c>
      <c r="H129">
        <v>0</v>
      </c>
      <c r="I129">
        <v>33</v>
      </c>
    </row>
    <row r="130" spans="1:9" x14ac:dyDescent="0.3">
      <c r="A130" t="s">
        <v>134</v>
      </c>
      <c r="B130" t="s">
        <v>312</v>
      </c>
      <c r="C130" t="str">
        <f t="shared" si="1"/>
        <v>L</v>
      </c>
      <c r="D130">
        <v>0</v>
      </c>
      <c r="E130">
        <v>0</v>
      </c>
      <c r="F130">
        <v>4</v>
      </c>
      <c r="G130">
        <v>1</v>
      </c>
      <c r="H130">
        <v>0</v>
      </c>
      <c r="I130">
        <v>5</v>
      </c>
    </row>
    <row r="131" spans="1:9" x14ac:dyDescent="0.3">
      <c r="A131" t="s">
        <v>135</v>
      </c>
      <c r="B131" t="s">
        <v>313</v>
      </c>
      <c r="C131" t="str">
        <f t="shared" ref="C131:C178" si="2">LEFT(B131,1)</f>
        <v>L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3">
      <c r="A132" t="s">
        <v>136</v>
      </c>
      <c r="B132" t="s">
        <v>314</v>
      </c>
      <c r="C132" t="str">
        <f t="shared" si="2"/>
        <v>A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3">
      <c r="A133" t="s">
        <v>137</v>
      </c>
      <c r="B133" t="s">
        <v>315</v>
      </c>
      <c r="C133" t="str">
        <f t="shared" si="2"/>
        <v>A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 t="s">
        <v>138</v>
      </c>
      <c r="B134" t="s">
        <v>316</v>
      </c>
      <c r="C134" t="str">
        <f t="shared" si="2"/>
        <v>B</v>
      </c>
      <c r="D134">
        <v>0</v>
      </c>
      <c r="E134">
        <v>0</v>
      </c>
      <c r="F134">
        <v>5</v>
      </c>
      <c r="G134">
        <v>0</v>
      </c>
      <c r="H134">
        <v>0</v>
      </c>
      <c r="I134">
        <v>5</v>
      </c>
    </row>
    <row r="135" spans="1:9" x14ac:dyDescent="0.3">
      <c r="A135" t="s">
        <v>139</v>
      </c>
      <c r="B135" t="s">
        <v>317</v>
      </c>
      <c r="C135" t="str">
        <f t="shared" si="2"/>
        <v>L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 t="s">
        <v>140</v>
      </c>
      <c r="B136" t="s">
        <v>318</v>
      </c>
      <c r="C136" t="str">
        <f t="shared" si="2"/>
        <v>A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 t="s">
        <v>141</v>
      </c>
      <c r="B137" t="s">
        <v>319</v>
      </c>
      <c r="C137" t="str">
        <f t="shared" si="2"/>
        <v>A</v>
      </c>
      <c r="D137">
        <v>0</v>
      </c>
      <c r="E137">
        <v>0</v>
      </c>
      <c r="F137">
        <v>3</v>
      </c>
      <c r="G137">
        <v>1</v>
      </c>
      <c r="H137">
        <v>0</v>
      </c>
      <c r="I137">
        <v>4</v>
      </c>
    </row>
    <row r="138" spans="1:9" x14ac:dyDescent="0.3">
      <c r="A138" t="s">
        <v>142</v>
      </c>
      <c r="B138" t="s">
        <v>320</v>
      </c>
      <c r="C138" t="str">
        <f t="shared" si="2"/>
        <v>L</v>
      </c>
      <c r="D138">
        <v>0</v>
      </c>
      <c r="E138">
        <v>0</v>
      </c>
      <c r="F138">
        <v>0</v>
      </c>
      <c r="G138">
        <v>1</v>
      </c>
      <c r="H138">
        <v>0</v>
      </c>
      <c r="I138">
        <v>1</v>
      </c>
    </row>
    <row r="139" spans="1:9" x14ac:dyDescent="0.3">
      <c r="A139" t="s">
        <v>143</v>
      </c>
      <c r="B139" t="s">
        <v>321</v>
      </c>
      <c r="C139" t="str">
        <f t="shared" si="2"/>
        <v>E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 t="s">
        <v>144</v>
      </c>
      <c r="B140" t="s">
        <v>322</v>
      </c>
      <c r="C140" t="str">
        <f t="shared" si="2"/>
        <v>L</v>
      </c>
      <c r="D140">
        <v>0</v>
      </c>
      <c r="E140">
        <v>3</v>
      </c>
      <c r="F140">
        <v>14</v>
      </c>
      <c r="G140">
        <v>3</v>
      </c>
      <c r="H140">
        <v>0</v>
      </c>
      <c r="I140">
        <v>20</v>
      </c>
    </row>
    <row r="141" spans="1:9" x14ac:dyDescent="0.3">
      <c r="A141" t="s">
        <v>145</v>
      </c>
      <c r="B141" t="s">
        <v>323</v>
      </c>
      <c r="C141" t="str">
        <f t="shared" si="2"/>
        <v>L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 t="s">
        <v>146</v>
      </c>
      <c r="B142" t="s">
        <v>324</v>
      </c>
      <c r="C142" t="str">
        <f t="shared" si="2"/>
        <v>L</v>
      </c>
      <c r="D142">
        <v>0</v>
      </c>
      <c r="E142">
        <v>1</v>
      </c>
      <c r="F142">
        <v>3</v>
      </c>
      <c r="G142">
        <v>0</v>
      </c>
      <c r="H142">
        <v>0</v>
      </c>
      <c r="I142">
        <v>4</v>
      </c>
    </row>
    <row r="143" spans="1:9" x14ac:dyDescent="0.3">
      <c r="A143" t="s">
        <v>147</v>
      </c>
      <c r="B143" t="s">
        <v>325</v>
      </c>
      <c r="C143" t="str">
        <f t="shared" si="2"/>
        <v>A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 t="s">
        <v>148</v>
      </c>
      <c r="B144" t="s">
        <v>326</v>
      </c>
      <c r="C144" t="str">
        <f t="shared" si="2"/>
        <v>L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 t="s">
        <v>149</v>
      </c>
      <c r="B145" t="s">
        <v>327</v>
      </c>
      <c r="C145" t="str">
        <f t="shared" si="2"/>
        <v>A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 t="s">
        <v>150</v>
      </c>
      <c r="B146" t="s">
        <v>328</v>
      </c>
      <c r="C146" t="str">
        <f t="shared" si="2"/>
        <v>B</v>
      </c>
      <c r="D146">
        <v>0</v>
      </c>
      <c r="E146">
        <v>0</v>
      </c>
      <c r="F146">
        <v>1</v>
      </c>
      <c r="G146">
        <v>0</v>
      </c>
      <c r="H146">
        <v>0</v>
      </c>
      <c r="I146">
        <v>1</v>
      </c>
    </row>
    <row r="147" spans="1:9" x14ac:dyDescent="0.3">
      <c r="A147" t="s">
        <v>151</v>
      </c>
      <c r="B147" t="s">
        <v>329</v>
      </c>
      <c r="C147" t="str">
        <f t="shared" si="2"/>
        <v>L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 t="s">
        <v>152</v>
      </c>
      <c r="B148" t="s">
        <v>330</v>
      </c>
      <c r="C148" t="str">
        <f t="shared" si="2"/>
        <v>L</v>
      </c>
      <c r="D148">
        <v>0</v>
      </c>
      <c r="E148">
        <v>7</v>
      </c>
      <c r="F148">
        <v>33</v>
      </c>
      <c r="G148">
        <v>11</v>
      </c>
      <c r="H148">
        <v>0</v>
      </c>
      <c r="I148">
        <v>51</v>
      </c>
    </row>
    <row r="149" spans="1:9" x14ac:dyDescent="0.3">
      <c r="A149" t="s">
        <v>153</v>
      </c>
      <c r="B149" t="s">
        <v>331</v>
      </c>
      <c r="C149" t="str">
        <f t="shared" si="2"/>
        <v>A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 t="s">
        <v>154</v>
      </c>
      <c r="B150" t="s">
        <v>332</v>
      </c>
      <c r="C150" t="str">
        <f t="shared" si="2"/>
        <v>L</v>
      </c>
      <c r="D150">
        <v>0</v>
      </c>
      <c r="E150">
        <v>12</v>
      </c>
      <c r="F150">
        <v>51</v>
      </c>
      <c r="G150">
        <v>9</v>
      </c>
      <c r="H150">
        <v>0</v>
      </c>
      <c r="I150">
        <v>72</v>
      </c>
    </row>
    <row r="151" spans="1:9" x14ac:dyDescent="0.3">
      <c r="A151" t="s">
        <v>155</v>
      </c>
      <c r="B151" t="s">
        <v>333</v>
      </c>
      <c r="C151" t="str">
        <f t="shared" si="2"/>
        <v>L</v>
      </c>
      <c r="D151">
        <v>0</v>
      </c>
      <c r="E151">
        <v>18</v>
      </c>
      <c r="F151">
        <v>106</v>
      </c>
      <c r="G151">
        <v>19</v>
      </c>
      <c r="H151">
        <v>0</v>
      </c>
      <c r="I151">
        <v>143</v>
      </c>
    </row>
    <row r="152" spans="1:9" x14ac:dyDescent="0.3">
      <c r="A152" t="s">
        <v>156</v>
      </c>
      <c r="B152" t="s">
        <v>334</v>
      </c>
      <c r="C152" t="str">
        <f t="shared" si="2"/>
        <v>C</v>
      </c>
      <c r="D152">
        <v>1</v>
      </c>
      <c r="E152">
        <v>7</v>
      </c>
      <c r="F152">
        <v>48</v>
      </c>
      <c r="G152">
        <v>6</v>
      </c>
      <c r="H152">
        <v>0</v>
      </c>
      <c r="I152">
        <v>62</v>
      </c>
    </row>
    <row r="153" spans="1:9" x14ac:dyDescent="0.3">
      <c r="A153" t="s">
        <v>157</v>
      </c>
      <c r="B153" t="s">
        <v>335</v>
      </c>
      <c r="C153" t="str">
        <f t="shared" si="2"/>
        <v>A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3">
      <c r="A154" t="s">
        <v>158</v>
      </c>
      <c r="B154" t="s">
        <v>336</v>
      </c>
      <c r="C154" t="str">
        <f t="shared" si="2"/>
        <v>B</v>
      </c>
      <c r="D154">
        <v>0</v>
      </c>
      <c r="E154">
        <v>0</v>
      </c>
      <c r="F154">
        <v>1</v>
      </c>
      <c r="G154">
        <v>0</v>
      </c>
      <c r="H154">
        <v>0</v>
      </c>
      <c r="I154">
        <v>1</v>
      </c>
    </row>
    <row r="155" spans="1:9" x14ac:dyDescent="0.3">
      <c r="A155" t="s">
        <v>159</v>
      </c>
      <c r="B155" t="s">
        <v>337</v>
      </c>
      <c r="C155" t="str">
        <f t="shared" si="2"/>
        <v>L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 t="s">
        <v>160</v>
      </c>
      <c r="B156" t="s">
        <v>338</v>
      </c>
      <c r="C156" t="str">
        <f t="shared" si="2"/>
        <v>A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 t="s">
        <v>161</v>
      </c>
      <c r="B157" t="s">
        <v>339</v>
      </c>
      <c r="C157" t="str">
        <f t="shared" si="2"/>
        <v>L</v>
      </c>
      <c r="D157">
        <v>0</v>
      </c>
      <c r="E157">
        <v>2</v>
      </c>
      <c r="F157">
        <v>18</v>
      </c>
      <c r="G157">
        <v>1</v>
      </c>
      <c r="H157">
        <v>0</v>
      </c>
      <c r="I157">
        <v>21</v>
      </c>
    </row>
    <row r="158" spans="1:9" x14ac:dyDescent="0.3">
      <c r="A158" t="s">
        <v>162</v>
      </c>
      <c r="B158" t="s">
        <v>340</v>
      </c>
      <c r="C158" t="str">
        <f t="shared" si="2"/>
        <v>R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 t="s">
        <v>163</v>
      </c>
      <c r="B159" t="s">
        <v>341</v>
      </c>
      <c r="C159" t="str">
        <f t="shared" si="2"/>
        <v>L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3">
      <c r="A160" t="s">
        <v>164</v>
      </c>
      <c r="B160" t="s">
        <v>342</v>
      </c>
      <c r="C160" t="str">
        <f t="shared" si="2"/>
        <v>L</v>
      </c>
      <c r="D160">
        <v>0</v>
      </c>
      <c r="E160">
        <v>1</v>
      </c>
      <c r="F160">
        <v>0</v>
      </c>
      <c r="G160">
        <v>0</v>
      </c>
      <c r="H160">
        <v>0</v>
      </c>
      <c r="I160">
        <v>1</v>
      </c>
    </row>
    <row r="161" spans="1:9" x14ac:dyDescent="0.3">
      <c r="A161" t="s">
        <v>165</v>
      </c>
      <c r="B161" t="s">
        <v>343</v>
      </c>
      <c r="C161" t="str">
        <f t="shared" si="2"/>
        <v>A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3">
      <c r="A162" t="s">
        <v>166</v>
      </c>
      <c r="B162" t="s">
        <v>344</v>
      </c>
      <c r="C162" t="str">
        <f t="shared" si="2"/>
        <v>L</v>
      </c>
      <c r="D162">
        <v>0</v>
      </c>
      <c r="E162">
        <v>0</v>
      </c>
      <c r="F162">
        <v>1</v>
      </c>
      <c r="G162">
        <v>0</v>
      </c>
      <c r="H162">
        <v>0</v>
      </c>
      <c r="I162">
        <v>1</v>
      </c>
    </row>
    <row r="163" spans="1:9" x14ac:dyDescent="0.3">
      <c r="A163" t="s">
        <v>167</v>
      </c>
      <c r="B163" t="s">
        <v>345</v>
      </c>
      <c r="C163" t="str">
        <f t="shared" si="2"/>
        <v>L</v>
      </c>
      <c r="D163">
        <v>0</v>
      </c>
      <c r="E163">
        <v>0</v>
      </c>
      <c r="F163">
        <v>2</v>
      </c>
      <c r="G163">
        <v>0</v>
      </c>
      <c r="H163">
        <v>0</v>
      </c>
      <c r="I163">
        <v>2</v>
      </c>
    </row>
    <row r="164" spans="1:9" x14ac:dyDescent="0.3">
      <c r="A164" t="s">
        <v>168</v>
      </c>
      <c r="B164" t="s">
        <v>346</v>
      </c>
      <c r="C164" t="str">
        <f t="shared" si="2"/>
        <v>L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 t="s">
        <v>169</v>
      </c>
      <c r="B165" t="s">
        <v>347</v>
      </c>
      <c r="C165" t="str">
        <f t="shared" si="2"/>
        <v>L</v>
      </c>
      <c r="D165">
        <v>0</v>
      </c>
      <c r="E165">
        <v>8</v>
      </c>
      <c r="F165">
        <v>34</v>
      </c>
      <c r="G165">
        <v>6</v>
      </c>
      <c r="H165">
        <v>0</v>
      </c>
      <c r="I165">
        <v>48</v>
      </c>
    </row>
    <row r="166" spans="1:9" x14ac:dyDescent="0.3">
      <c r="A166" t="s">
        <v>170</v>
      </c>
      <c r="B166" t="s">
        <v>348</v>
      </c>
      <c r="C166" t="str">
        <f t="shared" si="2"/>
        <v>A</v>
      </c>
      <c r="D166">
        <v>0</v>
      </c>
      <c r="E166">
        <v>1</v>
      </c>
      <c r="F166">
        <v>5</v>
      </c>
      <c r="G166">
        <v>0</v>
      </c>
      <c r="H166">
        <v>0</v>
      </c>
      <c r="I166">
        <v>6</v>
      </c>
    </row>
    <row r="167" spans="1:9" x14ac:dyDescent="0.3">
      <c r="A167" t="s">
        <v>171</v>
      </c>
      <c r="B167" t="s">
        <v>349</v>
      </c>
      <c r="C167" t="str">
        <f t="shared" si="2"/>
        <v>L</v>
      </c>
      <c r="D167">
        <v>0</v>
      </c>
      <c r="E167">
        <v>6</v>
      </c>
      <c r="F167">
        <v>47</v>
      </c>
      <c r="G167">
        <v>14</v>
      </c>
      <c r="H167">
        <v>0</v>
      </c>
      <c r="I167">
        <v>67</v>
      </c>
    </row>
    <row r="168" spans="1:9" x14ac:dyDescent="0.3">
      <c r="A168" t="s">
        <v>172</v>
      </c>
      <c r="B168" t="s">
        <v>350</v>
      </c>
      <c r="C168" t="str">
        <f t="shared" si="2"/>
        <v>L</v>
      </c>
      <c r="D168">
        <v>0</v>
      </c>
      <c r="E168">
        <v>11</v>
      </c>
      <c r="F168">
        <v>45</v>
      </c>
      <c r="G168">
        <v>8</v>
      </c>
      <c r="H168">
        <v>0</v>
      </c>
      <c r="I168">
        <v>64</v>
      </c>
    </row>
    <row r="169" spans="1:9" x14ac:dyDescent="0.3">
      <c r="A169" t="s">
        <v>173</v>
      </c>
      <c r="B169" t="s">
        <v>351</v>
      </c>
      <c r="C169" t="str">
        <f t="shared" si="2"/>
        <v>E</v>
      </c>
      <c r="D169">
        <v>0</v>
      </c>
      <c r="E169">
        <v>0</v>
      </c>
      <c r="F169">
        <v>11</v>
      </c>
      <c r="G169">
        <v>2</v>
      </c>
      <c r="H169">
        <v>0</v>
      </c>
      <c r="I169">
        <v>13</v>
      </c>
    </row>
    <row r="170" spans="1:9" x14ac:dyDescent="0.3">
      <c r="A170" t="s">
        <v>174</v>
      </c>
      <c r="B170" t="s">
        <v>352</v>
      </c>
      <c r="C170" t="str">
        <f t="shared" si="2"/>
        <v>S</v>
      </c>
      <c r="D170">
        <v>0</v>
      </c>
      <c r="E170">
        <v>16</v>
      </c>
      <c r="F170">
        <v>126</v>
      </c>
      <c r="G170">
        <v>32</v>
      </c>
      <c r="H170">
        <v>0</v>
      </c>
      <c r="I170">
        <v>174</v>
      </c>
    </row>
    <row r="171" spans="1:9" x14ac:dyDescent="0.3">
      <c r="A171" t="s">
        <v>175</v>
      </c>
      <c r="B171" t="s">
        <v>353</v>
      </c>
      <c r="C171" t="str">
        <f t="shared" si="2"/>
        <v>A</v>
      </c>
      <c r="D171">
        <v>0</v>
      </c>
      <c r="E171">
        <v>0</v>
      </c>
      <c r="F171">
        <v>9</v>
      </c>
      <c r="G171">
        <v>2</v>
      </c>
      <c r="H171">
        <v>0</v>
      </c>
      <c r="I171">
        <v>11</v>
      </c>
    </row>
    <row r="172" spans="1:9" x14ac:dyDescent="0.3">
      <c r="A172" t="s">
        <v>176</v>
      </c>
      <c r="B172" t="s">
        <v>354</v>
      </c>
      <c r="C172" t="str">
        <f t="shared" si="2"/>
        <v>L</v>
      </c>
      <c r="D172">
        <v>0</v>
      </c>
      <c r="E172">
        <v>0</v>
      </c>
      <c r="F172">
        <v>6</v>
      </c>
      <c r="G172">
        <v>2</v>
      </c>
      <c r="H172">
        <v>0</v>
      </c>
      <c r="I172">
        <v>8</v>
      </c>
    </row>
    <row r="173" spans="1:9" x14ac:dyDescent="0.3">
      <c r="A173" t="s">
        <v>177</v>
      </c>
      <c r="B173" t="s">
        <v>355</v>
      </c>
      <c r="C173" t="str">
        <f t="shared" si="2"/>
        <v>X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 t="s">
        <v>178</v>
      </c>
      <c r="B174" t="s">
        <v>356</v>
      </c>
      <c r="C174" t="str">
        <f t="shared" si="2"/>
        <v>L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3">
      <c r="A175" t="s">
        <v>179</v>
      </c>
      <c r="B175" t="s">
        <v>357</v>
      </c>
      <c r="C175" t="str">
        <f t="shared" si="2"/>
        <v>A</v>
      </c>
      <c r="D175">
        <v>0</v>
      </c>
      <c r="E175">
        <v>1</v>
      </c>
      <c r="F175">
        <v>1</v>
      </c>
      <c r="G175">
        <v>0</v>
      </c>
      <c r="H175">
        <v>0</v>
      </c>
      <c r="I175">
        <v>2</v>
      </c>
    </row>
    <row r="176" spans="1:9" x14ac:dyDescent="0.3">
      <c r="A176" t="s">
        <v>180</v>
      </c>
      <c r="B176" t="s">
        <v>358</v>
      </c>
      <c r="C176" t="str">
        <f t="shared" si="2"/>
        <v>A</v>
      </c>
      <c r="D176">
        <v>0</v>
      </c>
      <c r="E176">
        <v>1</v>
      </c>
      <c r="F176">
        <v>9</v>
      </c>
      <c r="G176">
        <v>1</v>
      </c>
      <c r="H176">
        <v>0</v>
      </c>
      <c r="I176">
        <v>11</v>
      </c>
    </row>
    <row r="177" spans="1:9" x14ac:dyDescent="0.3">
      <c r="A177" t="s">
        <v>181</v>
      </c>
      <c r="B177" t="s">
        <v>359</v>
      </c>
      <c r="C177" t="str">
        <f t="shared" si="2"/>
        <v>L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 t="s">
        <v>182</v>
      </c>
      <c r="B178" t="s">
        <v>360</v>
      </c>
      <c r="C178" t="str">
        <f t="shared" si="2"/>
        <v>o</v>
      </c>
      <c r="D178">
        <v>14</v>
      </c>
      <c r="E178">
        <v>239</v>
      </c>
      <c r="F178">
        <v>1649</v>
      </c>
      <c r="G178">
        <v>313</v>
      </c>
      <c r="H178">
        <v>0</v>
      </c>
      <c r="I178">
        <v>2215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22-23 Summary</vt:lpstr>
      <vt:lpstr>22-23 Data</vt:lpstr>
      <vt:lpstr>18-19 Summary</vt:lpstr>
      <vt:lpstr>18-19 Data</vt:lpstr>
    </vt:vector>
  </TitlesOfParts>
  <Company>University of California, Davis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Ian Blake</dc:creator>
  <cp:lastModifiedBy>Ian Blake</cp:lastModifiedBy>
  <dcterms:created xsi:type="dcterms:W3CDTF">2024-01-23T19:39:57Z</dcterms:created>
  <dcterms:modified xsi:type="dcterms:W3CDTF">2024-02-01T19:37:53Z</dcterms:modified>
</cp:coreProperties>
</file>